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学校\化工\化工设计竞赛\华东赛\"/>
    </mc:Choice>
  </mc:AlternateContent>
  <xr:revisionPtr revIDLastSave="0" documentId="13_ncr:1_{36453DE4-CA24-44E7-B105-35CD5495D0EB}" xr6:coauthVersionLast="36" xr6:coauthVersionMax="36" xr10:uidLastSave="{00000000-0000-0000-0000-000000000000}"/>
  <bookViews>
    <workbookView xWindow="0" yWindow="0" windowWidth="19200" windowHeight="6280" firstSheet="3" activeTab="3" xr2:uid="{90CB0425-DF20-480A-9DB7-8C654E0DE851}"/>
  </bookViews>
  <sheets>
    <sheet name="主要经济技术指标表" sheetId="1" r:id="rId1"/>
    <sheet name="直接材料费用表" sheetId="3" r:id="rId2"/>
    <sheet name="产品销售收入和税金估算" sheetId="4" r:id="rId3"/>
    <sheet name="工资和生活用水费" sheetId="5" r:id="rId4"/>
    <sheet name="设备费价格明细" sheetId="6" r:id="rId5"/>
    <sheet name="设备购置和安装费" sheetId="7" r:id="rId6"/>
    <sheet name="建设投资估算表" sheetId="8" r:id="rId7"/>
    <sheet name="建设期贷款利息" sheetId="9" r:id="rId8"/>
    <sheet name="产品成本汇总表" sheetId="10" r:id="rId9"/>
    <sheet name="财务报表" sheetId="11" r:id="rId10"/>
    <sheet name="不确定分析" sheetId="12" r:id="rId11"/>
    <sheet name="能耗分析" sheetId="13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3" l="1"/>
  <c r="E45" i="13"/>
  <c r="H44" i="13"/>
  <c r="E44" i="13"/>
  <c r="D44" i="13"/>
  <c r="H43" i="13"/>
  <c r="E43" i="13"/>
  <c r="D43" i="13"/>
  <c r="H42" i="13"/>
  <c r="E42" i="13"/>
  <c r="D42" i="13"/>
  <c r="H41" i="13"/>
  <c r="E41" i="13"/>
  <c r="D41" i="13"/>
  <c r="H40" i="13"/>
  <c r="E40" i="13"/>
  <c r="D40" i="13"/>
  <c r="H39" i="13"/>
  <c r="E39" i="13"/>
  <c r="D39" i="13"/>
  <c r="H38" i="13"/>
  <c r="E38" i="13"/>
  <c r="D38" i="13"/>
  <c r="H37" i="13"/>
  <c r="E37" i="13"/>
  <c r="D37" i="13"/>
  <c r="H36" i="13"/>
  <c r="E36" i="13"/>
  <c r="D36" i="13"/>
  <c r="H30" i="13"/>
  <c r="G30" i="13"/>
  <c r="H29" i="13"/>
  <c r="G29" i="13"/>
  <c r="D29" i="13"/>
  <c r="H28" i="13"/>
  <c r="G28" i="13"/>
  <c r="D28" i="13"/>
  <c r="H27" i="13"/>
  <c r="G27" i="13"/>
  <c r="D27" i="13"/>
  <c r="H26" i="13"/>
  <c r="G26" i="13"/>
  <c r="D26" i="13"/>
  <c r="H25" i="13"/>
  <c r="G25" i="13"/>
  <c r="D25" i="13"/>
  <c r="H24" i="13"/>
  <c r="G24" i="13"/>
  <c r="D24" i="13"/>
  <c r="H23" i="13"/>
  <c r="G23" i="13"/>
  <c r="D23" i="13"/>
  <c r="H22" i="13"/>
  <c r="G22" i="13"/>
  <c r="D22" i="13"/>
  <c r="H21" i="13"/>
  <c r="G21" i="13"/>
  <c r="F21" i="13"/>
  <c r="D21" i="13"/>
  <c r="H17" i="13"/>
  <c r="C16" i="13"/>
  <c r="H15" i="13"/>
  <c r="I13" i="13"/>
  <c r="H13" i="13"/>
  <c r="G13" i="13"/>
  <c r="I12" i="13"/>
  <c r="H12" i="13"/>
  <c r="G12" i="13"/>
  <c r="F12" i="13"/>
  <c r="D12" i="13"/>
  <c r="I11" i="13"/>
  <c r="H11" i="13"/>
  <c r="G11" i="13"/>
  <c r="D11" i="13"/>
  <c r="I10" i="13"/>
  <c r="H10" i="13"/>
  <c r="G10" i="13"/>
  <c r="D10" i="13"/>
  <c r="I9" i="13"/>
  <c r="H9" i="13"/>
  <c r="G9" i="13"/>
  <c r="D9" i="13"/>
  <c r="I8" i="13"/>
  <c r="H8" i="13"/>
  <c r="G8" i="13"/>
  <c r="D8" i="13"/>
  <c r="I7" i="13"/>
  <c r="H7" i="13"/>
  <c r="G7" i="13"/>
  <c r="D7" i="13"/>
  <c r="I6" i="13"/>
  <c r="H6" i="13"/>
  <c r="G6" i="13"/>
  <c r="D6" i="13"/>
  <c r="I5" i="13"/>
  <c r="H5" i="13"/>
  <c r="G5" i="13"/>
  <c r="D5" i="13"/>
  <c r="I4" i="13"/>
  <c r="H4" i="13"/>
  <c r="G4" i="13"/>
  <c r="D4" i="13"/>
  <c r="F30" i="12"/>
  <c r="E30" i="12"/>
  <c r="D30" i="12"/>
  <c r="C30" i="12"/>
  <c r="B30" i="12"/>
  <c r="F29" i="12"/>
  <c r="E29" i="12"/>
  <c r="C29" i="12"/>
  <c r="B29" i="12"/>
  <c r="F25" i="12"/>
  <c r="E25" i="12"/>
  <c r="D25" i="12"/>
  <c r="C25" i="12"/>
  <c r="B25" i="12"/>
  <c r="F24" i="12"/>
  <c r="E24" i="12"/>
  <c r="D24" i="12"/>
  <c r="C24" i="12"/>
  <c r="B24" i="12"/>
  <c r="F20" i="12"/>
  <c r="E20" i="12"/>
  <c r="D20" i="12"/>
  <c r="C20" i="12"/>
  <c r="B20" i="12"/>
  <c r="F19" i="12"/>
  <c r="E19" i="12"/>
  <c r="D19" i="12"/>
  <c r="C19" i="12"/>
  <c r="B19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F10" i="12"/>
  <c r="C10" i="12"/>
  <c r="C9" i="12"/>
  <c r="C8" i="12"/>
  <c r="C7" i="12"/>
  <c r="C6" i="12"/>
  <c r="C5" i="12"/>
  <c r="F4" i="12"/>
  <c r="C4" i="12"/>
  <c r="C3" i="12"/>
  <c r="C2" i="12"/>
  <c r="L113" i="11"/>
  <c r="K113" i="11"/>
  <c r="J113" i="11"/>
  <c r="I113" i="11"/>
  <c r="E113" i="11"/>
  <c r="D113" i="11"/>
  <c r="C113" i="11"/>
  <c r="B113" i="11"/>
  <c r="L112" i="11"/>
  <c r="K112" i="11"/>
  <c r="J112" i="11"/>
  <c r="I112" i="11"/>
  <c r="E112" i="11"/>
  <c r="D112" i="11"/>
  <c r="C112" i="11"/>
  <c r="B112" i="11"/>
  <c r="L111" i="11"/>
  <c r="K111" i="11"/>
  <c r="J111" i="11"/>
  <c r="I111" i="11"/>
  <c r="E111" i="11"/>
  <c r="D111" i="11"/>
  <c r="C111" i="11"/>
  <c r="B111" i="11"/>
  <c r="L110" i="11"/>
  <c r="K110" i="11"/>
  <c r="J110" i="11"/>
  <c r="I110" i="11"/>
  <c r="E110" i="11"/>
  <c r="D110" i="11"/>
  <c r="C110" i="11"/>
  <c r="B110" i="11"/>
  <c r="L109" i="11"/>
  <c r="K109" i="11"/>
  <c r="J109" i="11"/>
  <c r="I109" i="11"/>
  <c r="E109" i="11"/>
  <c r="D109" i="11"/>
  <c r="C109" i="11"/>
  <c r="B109" i="11"/>
  <c r="L108" i="11"/>
  <c r="K108" i="11"/>
  <c r="J108" i="11"/>
  <c r="I108" i="11"/>
  <c r="E108" i="11"/>
  <c r="D108" i="11"/>
  <c r="C108" i="11"/>
  <c r="B108" i="11"/>
  <c r="L107" i="11"/>
  <c r="K107" i="11"/>
  <c r="J107" i="11"/>
  <c r="I107" i="11"/>
  <c r="E107" i="11"/>
  <c r="D107" i="11"/>
  <c r="C107" i="11"/>
  <c r="B107" i="11"/>
  <c r="L106" i="11"/>
  <c r="K106" i="11"/>
  <c r="J106" i="11"/>
  <c r="I106" i="11"/>
  <c r="E106" i="11"/>
  <c r="D106" i="11"/>
  <c r="C106" i="11"/>
  <c r="B106" i="11"/>
  <c r="L105" i="11"/>
  <c r="K105" i="11"/>
  <c r="J105" i="11"/>
  <c r="I105" i="11"/>
  <c r="E105" i="11"/>
  <c r="D105" i="11"/>
  <c r="C105" i="11"/>
  <c r="B105" i="11"/>
  <c r="L104" i="11"/>
  <c r="K104" i="11"/>
  <c r="J104" i="11"/>
  <c r="I104" i="11"/>
  <c r="E104" i="11"/>
  <c r="D104" i="11"/>
  <c r="C104" i="11"/>
  <c r="B104" i="11"/>
  <c r="L103" i="11"/>
  <c r="K103" i="11"/>
  <c r="J103" i="11"/>
  <c r="I103" i="11"/>
  <c r="E103" i="11"/>
  <c r="D103" i="11"/>
  <c r="C103" i="11"/>
  <c r="B103" i="11"/>
  <c r="L102" i="11"/>
  <c r="K102" i="11"/>
  <c r="J102" i="11"/>
  <c r="I102" i="11"/>
  <c r="E102" i="11"/>
  <c r="D102" i="11"/>
  <c r="C102" i="11"/>
  <c r="B102" i="11"/>
  <c r="L101" i="11"/>
  <c r="K101" i="11"/>
  <c r="J101" i="11"/>
  <c r="I101" i="11"/>
  <c r="E101" i="11"/>
  <c r="D101" i="11"/>
  <c r="C101" i="11"/>
  <c r="B101" i="11"/>
  <c r="L100" i="11"/>
  <c r="K100" i="11"/>
  <c r="J100" i="11"/>
  <c r="I100" i="11"/>
  <c r="E100" i="11"/>
  <c r="D100" i="11"/>
  <c r="C100" i="11"/>
  <c r="B100" i="11"/>
  <c r="L99" i="11"/>
  <c r="K99" i="11"/>
  <c r="J99" i="11"/>
  <c r="I99" i="11"/>
  <c r="E99" i="11"/>
  <c r="D99" i="11"/>
  <c r="C99" i="11"/>
  <c r="B99" i="11"/>
  <c r="B95" i="11"/>
  <c r="B94" i="11"/>
  <c r="E92" i="11"/>
  <c r="D92" i="11"/>
  <c r="C92" i="11"/>
  <c r="B92" i="11"/>
  <c r="E91" i="11"/>
  <c r="D91" i="11"/>
  <c r="C91" i="11"/>
  <c r="B91" i="11"/>
  <c r="E90" i="11"/>
  <c r="D90" i="11"/>
  <c r="C90" i="11"/>
  <c r="B90" i="11"/>
  <c r="E89" i="11"/>
  <c r="D89" i="11"/>
  <c r="C89" i="11"/>
  <c r="B89" i="11"/>
  <c r="E88" i="11"/>
  <c r="D88" i="11"/>
  <c r="C88" i="11"/>
  <c r="B88" i="11"/>
  <c r="E87" i="11"/>
  <c r="D87" i="11"/>
  <c r="C87" i="11"/>
  <c r="B87" i="11"/>
  <c r="E86" i="11"/>
  <c r="D86" i="11"/>
  <c r="C86" i="11"/>
  <c r="B86" i="11"/>
  <c r="E85" i="11"/>
  <c r="D85" i="11"/>
  <c r="C85" i="11"/>
  <c r="B85" i="11"/>
  <c r="E84" i="11"/>
  <c r="D84" i="11"/>
  <c r="C84" i="11"/>
  <c r="B84" i="11"/>
  <c r="E83" i="11"/>
  <c r="D83" i="11"/>
  <c r="C83" i="11"/>
  <c r="B83" i="11"/>
  <c r="E82" i="11"/>
  <c r="D82" i="11"/>
  <c r="C82" i="11"/>
  <c r="B82" i="11"/>
  <c r="E81" i="11"/>
  <c r="D81" i="11"/>
  <c r="C81" i="11"/>
  <c r="E80" i="11"/>
  <c r="D80" i="11"/>
  <c r="C80" i="11"/>
  <c r="B80" i="11"/>
  <c r="E79" i="11"/>
  <c r="D79" i="11"/>
  <c r="C79" i="11"/>
  <c r="B79" i="11"/>
  <c r="E78" i="11"/>
  <c r="D78" i="11"/>
  <c r="C78" i="11"/>
  <c r="B78" i="11"/>
  <c r="B73" i="11"/>
  <c r="B72" i="11"/>
  <c r="B71" i="11"/>
  <c r="B70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J61" i="11"/>
  <c r="I61" i="11"/>
  <c r="H61" i="11"/>
  <c r="G61" i="11"/>
  <c r="F61" i="11"/>
  <c r="E61" i="11"/>
  <c r="D60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J43" i="11"/>
  <c r="I43" i="11"/>
  <c r="H43" i="11"/>
  <c r="G43" i="11"/>
  <c r="F43" i="11"/>
  <c r="E43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0" i="11"/>
  <c r="D39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F28" i="11"/>
  <c r="E28" i="11"/>
  <c r="D28" i="11"/>
  <c r="F27" i="11"/>
  <c r="E27" i="11"/>
  <c r="D27" i="11"/>
  <c r="F26" i="11"/>
  <c r="E26" i="11"/>
  <c r="D26" i="11"/>
  <c r="F25" i="11"/>
  <c r="E25" i="11"/>
  <c r="D25" i="11"/>
  <c r="F24" i="11"/>
  <c r="E24" i="11"/>
  <c r="D24" i="11"/>
  <c r="F23" i="11"/>
  <c r="E23" i="11"/>
  <c r="D23" i="11"/>
  <c r="F22" i="11"/>
  <c r="E22" i="11"/>
  <c r="D22" i="11"/>
  <c r="F21" i="11"/>
  <c r="E21" i="11"/>
  <c r="D21" i="11"/>
  <c r="F20" i="11"/>
  <c r="E20" i="11"/>
  <c r="D20" i="11"/>
  <c r="F18" i="11"/>
  <c r="E18" i="11"/>
  <c r="D18" i="11"/>
  <c r="F17" i="11"/>
  <c r="E17" i="11"/>
  <c r="D17" i="11"/>
  <c r="C11" i="11"/>
  <c r="C10" i="11"/>
  <c r="C9" i="11"/>
  <c r="C8" i="11"/>
  <c r="C7" i="11"/>
  <c r="C6" i="11"/>
  <c r="C5" i="11"/>
  <c r="C4" i="11"/>
  <c r="C3" i="11"/>
  <c r="D55" i="10"/>
  <c r="C55" i="10"/>
  <c r="D54" i="10"/>
  <c r="C54" i="10"/>
  <c r="D53" i="10"/>
  <c r="C53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C38" i="10"/>
  <c r="C36" i="10"/>
  <c r="E31" i="10"/>
  <c r="D31" i="10"/>
  <c r="C27" i="10"/>
  <c r="E23" i="10"/>
  <c r="D23" i="10"/>
  <c r="E19" i="10"/>
  <c r="D19" i="10"/>
  <c r="B15" i="10"/>
  <c r="B14" i="10"/>
  <c r="B13" i="10"/>
  <c r="B12" i="10"/>
  <c r="E8" i="10"/>
  <c r="E7" i="10"/>
  <c r="B7" i="10"/>
  <c r="E6" i="10"/>
  <c r="B6" i="10"/>
  <c r="E5" i="10"/>
  <c r="B5" i="10"/>
  <c r="E4" i="10"/>
  <c r="B4" i="10"/>
  <c r="E3" i="10"/>
  <c r="B3" i="10"/>
  <c r="G42" i="9"/>
  <c r="F42" i="9"/>
  <c r="E42" i="9"/>
  <c r="D42" i="9"/>
  <c r="G41" i="9"/>
  <c r="F41" i="9"/>
  <c r="E41" i="9"/>
  <c r="D41" i="9"/>
  <c r="E39" i="9"/>
  <c r="G38" i="9"/>
  <c r="F38" i="9"/>
  <c r="E38" i="9"/>
  <c r="D38" i="9"/>
  <c r="G37" i="9"/>
  <c r="F37" i="9"/>
  <c r="E37" i="9"/>
  <c r="D37" i="9"/>
  <c r="G36" i="9"/>
  <c r="F36" i="9"/>
  <c r="E36" i="9"/>
  <c r="D36" i="9"/>
  <c r="G35" i="9"/>
  <c r="F35" i="9"/>
  <c r="E35" i="9"/>
  <c r="D35" i="9"/>
  <c r="G34" i="9"/>
  <c r="F34" i="9"/>
  <c r="E34" i="9"/>
  <c r="D34" i="9"/>
  <c r="G33" i="9"/>
  <c r="F33" i="9"/>
  <c r="E33" i="9"/>
  <c r="D33" i="9"/>
  <c r="G32" i="9"/>
  <c r="F32" i="9"/>
  <c r="E32" i="9"/>
  <c r="D32" i="9"/>
  <c r="B27" i="9"/>
  <c r="B26" i="9"/>
  <c r="B25" i="9"/>
  <c r="B24" i="9"/>
  <c r="B23" i="9"/>
  <c r="B22" i="9"/>
  <c r="B21" i="9"/>
  <c r="B20" i="9"/>
  <c r="G19" i="9"/>
  <c r="B19" i="9"/>
  <c r="B18" i="9"/>
  <c r="C15" i="9"/>
  <c r="C14" i="9"/>
  <c r="I13" i="9"/>
  <c r="H13" i="9"/>
  <c r="G13" i="9"/>
  <c r="F13" i="9"/>
  <c r="E13" i="9"/>
  <c r="I12" i="9"/>
  <c r="H12" i="9"/>
  <c r="G12" i="9"/>
  <c r="F12" i="9"/>
  <c r="E12" i="9"/>
  <c r="D12" i="9"/>
  <c r="C12" i="9"/>
  <c r="I11" i="9"/>
  <c r="H11" i="9"/>
  <c r="G11" i="9"/>
  <c r="F11" i="9"/>
  <c r="E11" i="9"/>
  <c r="D11" i="9"/>
  <c r="C11" i="9"/>
  <c r="I10" i="9"/>
  <c r="H10" i="9"/>
  <c r="G10" i="9"/>
  <c r="F10" i="9"/>
  <c r="E10" i="9"/>
  <c r="D10" i="9"/>
  <c r="C69" i="8"/>
  <c r="C68" i="8"/>
  <c r="C67" i="8"/>
  <c r="C66" i="8"/>
  <c r="C65" i="8"/>
  <c r="C64" i="8"/>
  <c r="C63" i="8"/>
  <c r="C62" i="8"/>
  <c r="C58" i="8"/>
  <c r="C57" i="8"/>
  <c r="C56" i="8"/>
  <c r="C55" i="8"/>
  <c r="C54" i="8"/>
  <c r="F50" i="8"/>
  <c r="F49" i="8"/>
  <c r="F48" i="8"/>
  <c r="E43" i="8"/>
  <c r="D43" i="8"/>
  <c r="E42" i="8"/>
  <c r="D42" i="8"/>
  <c r="E37" i="8"/>
  <c r="C33" i="8"/>
  <c r="C32" i="8"/>
  <c r="C31" i="8"/>
  <c r="C30" i="8"/>
  <c r="C26" i="8"/>
  <c r="C25" i="8"/>
  <c r="C24" i="8"/>
  <c r="C23" i="8"/>
  <c r="E19" i="8"/>
  <c r="E18" i="8"/>
  <c r="D18" i="8"/>
  <c r="E17" i="8"/>
  <c r="D17" i="8"/>
  <c r="E16" i="8"/>
  <c r="D16" i="8"/>
  <c r="E11" i="8"/>
  <c r="D11" i="8"/>
  <c r="E7" i="8"/>
  <c r="E6" i="8"/>
  <c r="D6" i="8"/>
  <c r="E5" i="8"/>
  <c r="D5" i="8"/>
  <c r="D1" i="8"/>
  <c r="E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D15" i="7"/>
  <c r="E14" i="7"/>
  <c r="D14" i="7"/>
  <c r="D13" i="7"/>
  <c r="D12" i="7"/>
  <c r="D11" i="7"/>
  <c r="D10" i="7"/>
  <c r="D9" i="7"/>
  <c r="D8" i="7"/>
  <c r="D7" i="7"/>
  <c r="D6" i="7"/>
  <c r="D5" i="7"/>
  <c r="D1" i="7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J79" i="6"/>
  <c r="J78" i="6"/>
  <c r="I78" i="6"/>
  <c r="J77" i="6"/>
  <c r="I77" i="6"/>
  <c r="H72" i="6"/>
  <c r="H71" i="6"/>
  <c r="H70" i="6"/>
  <c r="H69" i="6"/>
  <c r="H68" i="6"/>
  <c r="H67" i="6"/>
  <c r="H66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G33" i="6"/>
  <c r="F22" i="6"/>
  <c r="F21" i="6"/>
  <c r="F20" i="6"/>
  <c r="F19" i="6"/>
  <c r="F18" i="6"/>
  <c r="F17" i="6"/>
  <c r="F16" i="6"/>
  <c r="K12" i="6"/>
  <c r="K11" i="6"/>
  <c r="K10" i="6"/>
  <c r="F10" i="6"/>
  <c r="K9" i="6"/>
  <c r="F9" i="6"/>
  <c r="K8" i="6"/>
  <c r="F8" i="6"/>
  <c r="K7" i="6"/>
  <c r="F7" i="6"/>
  <c r="K6" i="6"/>
  <c r="F6" i="6"/>
  <c r="K5" i="6"/>
  <c r="F5" i="6"/>
  <c r="K4" i="6"/>
  <c r="F4" i="6"/>
  <c r="F3" i="6"/>
  <c r="E26" i="5"/>
  <c r="E25" i="5"/>
  <c r="E24" i="5"/>
  <c r="E23" i="5"/>
  <c r="E22" i="5"/>
  <c r="F19" i="5"/>
  <c r="D19" i="5"/>
  <c r="C19" i="5"/>
  <c r="E17" i="5"/>
  <c r="G16" i="5"/>
  <c r="G15" i="5"/>
  <c r="E15" i="5"/>
  <c r="G14" i="5"/>
  <c r="E14" i="5"/>
  <c r="G13" i="5"/>
  <c r="E13" i="5"/>
  <c r="G12" i="5"/>
  <c r="E12" i="5"/>
  <c r="G11" i="5"/>
  <c r="E11" i="5"/>
  <c r="G10" i="5"/>
  <c r="E10" i="5"/>
  <c r="G9" i="5"/>
  <c r="E9" i="5"/>
  <c r="G8" i="5"/>
  <c r="E8" i="5"/>
  <c r="G7" i="5"/>
  <c r="E7" i="5"/>
  <c r="G6" i="5"/>
  <c r="E6" i="5"/>
  <c r="G5" i="5"/>
  <c r="E5" i="5"/>
  <c r="G4" i="5"/>
  <c r="E4" i="5"/>
  <c r="G3" i="5"/>
  <c r="E3" i="5"/>
  <c r="G2" i="5"/>
  <c r="E2" i="5"/>
  <c r="D19" i="4"/>
  <c r="D18" i="4"/>
  <c r="D17" i="4"/>
  <c r="D16" i="4"/>
  <c r="D15" i="4"/>
  <c r="D14" i="4"/>
  <c r="D13" i="4"/>
  <c r="D12" i="4"/>
  <c r="D11" i="4"/>
  <c r="D10" i="4"/>
  <c r="D7" i="4"/>
  <c r="F5" i="4"/>
  <c r="F4" i="4"/>
  <c r="D4" i="4"/>
  <c r="F3" i="4"/>
  <c r="D3" i="4"/>
  <c r="F2" i="4"/>
  <c r="D2" i="4"/>
  <c r="F23" i="3"/>
  <c r="F22" i="3"/>
  <c r="I21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E9" i="3"/>
  <c r="E8" i="3"/>
  <c r="C8" i="3"/>
  <c r="E7" i="3"/>
  <c r="C7" i="3"/>
  <c r="E6" i="3"/>
  <c r="C6" i="3"/>
  <c r="E5" i="3"/>
  <c r="C5" i="3"/>
  <c r="E4" i="3"/>
  <c r="C4" i="3"/>
  <c r="E3" i="3"/>
  <c r="C3" i="3"/>
  <c r="D46" i="1"/>
  <c r="D45" i="1"/>
  <c r="D44" i="1"/>
  <c r="D43" i="1"/>
  <c r="D42" i="1"/>
  <c r="D40" i="1"/>
  <c r="D39" i="1"/>
  <c r="D38" i="1"/>
  <c r="D37" i="1"/>
  <c r="D36" i="1"/>
  <c r="D35" i="1"/>
  <c r="D34" i="1"/>
  <c r="D33" i="1"/>
  <c r="D32" i="1"/>
  <c r="D31" i="1"/>
  <c r="D24" i="1"/>
  <c r="D23" i="1"/>
  <c r="D22" i="1"/>
  <c r="D21" i="1"/>
  <c r="D20" i="1"/>
  <c r="D19" i="1"/>
  <c r="D18" i="1"/>
  <c r="D17" i="1"/>
  <c r="D16" i="1"/>
  <c r="D14" i="1"/>
  <c r="D13" i="1"/>
  <c r="D12" i="1"/>
  <c r="D11" i="1"/>
  <c r="D10" i="1"/>
  <c r="D9" i="1"/>
  <c r="D6" i="1"/>
  <c r="D5" i="1"/>
  <c r="D4" i="1"/>
  <c r="B36" i="3" l="1"/>
</calcChain>
</file>

<file path=xl/sharedStrings.xml><?xml version="1.0" encoding="utf-8"?>
<sst xmlns="http://schemas.openxmlformats.org/spreadsheetml/2006/main" count="1272" uniqueCount="809">
  <si>
    <t>项目</t>
    <phoneticPr fontId="3" type="noConversion"/>
  </si>
  <si>
    <t>主要原料</t>
    <phoneticPr fontId="3" type="noConversion"/>
  </si>
  <si>
    <t>辅助原料</t>
    <phoneticPr fontId="3" type="noConversion"/>
  </si>
  <si>
    <t>己二酸</t>
    <phoneticPr fontId="3" type="noConversion"/>
  </si>
  <si>
    <t>氨</t>
    <phoneticPr fontId="3" type="noConversion"/>
  </si>
  <si>
    <t>磷酸催化剂</t>
    <phoneticPr fontId="3" type="noConversion"/>
  </si>
  <si>
    <t>工艺软水</t>
    <phoneticPr fontId="3" type="noConversion"/>
  </si>
  <si>
    <t>名称</t>
    <phoneticPr fontId="3" type="noConversion"/>
  </si>
  <si>
    <t>数量（t/a）</t>
    <phoneticPr fontId="3" type="noConversion"/>
  </si>
  <si>
    <t>单价（元/吨）</t>
    <phoneticPr fontId="3" type="noConversion"/>
  </si>
  <si>
    <t>总费用（万元/年）</t>
    <phoneticPr fontId="3" type="noConversion"/>
  </si>
  <si>
    <t>原材料及辅助材料费用表</t>
    <phoneticPr fontId="3" type="noConversion"/>
  </si>
  <si>
    <t>公用工程名称</t>
  </si>
  <si>
    <r>
      <rPr>
        <b/>
        <sz val="10.5"/>
        <color rgb="FFFFFFFF"/>
        <rFont val="宋体"/>
        <family val="3"/>
        <charset val="134"/>
      </rPr>
      <t>单位</t>
    </r>
  </si>
  <si>
    <r>
      <rPr>
        <b/>
        <sz val="10.5"/>
        <color rgb="FFFFFFFF"/>
        <rFont val="宋体"/>
        <family val="3"/>
        <charset val="134"/>
      </rPr>
      <t>消耗</t>
    </r>
  </si>
  <si>
    <r>
      <rPr>
        <b/>
        <sz val="10.5"/>
        <color rgb="FFFFFFFF"/>
        <rFont val="宋体"/>
        <family val="3"/>
        <charset val="134"/>
      </rPr>
      <t>能耗低热值或能耗指标</t>
    </r>
  </si>
  <si>
    <r>
      <rPr>
        <b/>
        <sz val="10.5"/>
        <color rgb="FFFFFFFF"/>
        <rFont val="宋体"/>
        <family val="3"/>
        <charset val="134"/>
      </rPr>
      <t>单位能耗</t>
    </r>
  </si>
  <si>
    <r>
      <rPr>
        <b/>
        <sz val="10.5"/>
        <color rgb="FFFFFFFF"/>
        <rFont val="宋体"/>
        <family val="3"/>
        <charset val="134"/>
      </rPr>
      <t>总能耗</t>
    </r>
  </si>
  <si>
    <t>单位能耗占比</t>
  </si>
  <si>
    <r>
      <rPr>
        <b/>
        <sz val="10.5"/>
        <color rgb="FFFFFFFF"/>
        <rFont val="宋体"/>
        <family val="3"/>
        <charset val="134"/>
      </rPr>
      <t>小时耗量</t>
    </r>
  </si>
  <si>
    <r>
      <rPr>
        <b/>
        <sz val="10.5"/>
        <color rgb="FFFFFFFF"/>
        <rFont val="宋体"/>
        <family val="3"/>
        <charset val="134"/>
      </rPr>
      <t>年耗量</t>
    </r>
  </si>
  <si>
    <r>
      <rPr>
        <b/>
        <sz val="10.5"/>
        <color rgb="FFFFFFFF"/>
        <rFont val="宋体"/>
        <family val="3"/>
        <charset val="134"/>
      </rPr>
      <t>数量</t>
    </r>
  </si>
  <si>
    <t>MJ/t</t>
  </si>
  <si>
    <t>MJ/a</t>
  </si>
  <si>
    <t>kW·h/a</t>
  </si>
  <si>
    <t>MJ/kw•h</t>
  </si>
  <si>
    <t>t/a</t>
  </si>
  <si>
    <t>Nm3/a</t>
  </si>
  <si>
    <t>MJ/Nm3</t>
  </si>
  <si>
    <t>4MPa中压蒸汽</t>
    <phoneticPr fontId="3" type="noConversion"/>
  </si>
  <si>
    <t>t/a</t>
    <phoneticPr fontId="3" type="noConversion"/>
  </si>
  <si>
    <r>
      <rPr>
        <sz val="11"/>
        <color theme="1"/>
        <rFont val="等线"/>
        <family val="1"/>
        <charset val="134"/>
        <scheme val="minor"/>
      </rPr>
      <t>0.25MPa</t>
    </r>
    <r>
      <rPr>
        <sz val="11"/>
        <color theme="1"/>
        <rFont val="宋体"/>
        <family val="3"/>
        <charset val="134"/>
      </rPr>
      <t>低压蒸汽</t>
    </r>
  </si>
  <si>
    <r>
      <rPr>
        <sz val="11"/>
        <color theme="1"/>
        <rFont val="等线"/>
        <family val="3"/>
        <charset val="134"/>
        <scheme val="minor"/>
      </rPr>
      <t>-25℃冷冻盐水</t>
    </r>
  </si>
  <si>
    <r>
      <rPr>
        <sz val="11"/>
        <color theme="1"/>
        <rFont val="等线"/>
        <family val="3"/>
        <charset val="134"/>
        <scheme val="minor"/>
      </rPr>
      <t>仪表空气</t>
    </r>
  </si>
  <si>
    <r>
      <rPr>
        <sz val="11"/>
        <color theme="1"/>
        <rFont val="等线"/>
        <family val="3"/>
        <charset val="134"/>
        <scheme val="minor"/>
      </rPr>
      <t>合计</t>
    </r>
  </si>
  <si>
    <r>
      <rPr>
        <sz val="11"/>
        <color theme="1"/>
        <rFont val="宋体"/>
        <family val="3"/>
        <charset val="134"/>
      </rPr>
      <t>电</t>
    </r>
  </si>
  <si>
    <r>
      <rPr>
        <sz val="11"/>
        <color theme="1"/>
        <rFont val="等线"/>
        <family val="1"/>
        <charset val="134"/>
        <scheme val="minor"/>
      </rPr>
      <t>20℃</t>
    </r>
    <r>
      <rPr>
        <sz val="11"/>
        <color theme="1"/>
        <rFont val="宋体"/>
        <family val="3"/>
        <charset val="134"/>
      </rPr>
      <t>冷却水</t>
    </r>
  </si>
  <si>
    <r>
      <rPr>
        <sz val="11"/>
        <color theme="1"/>
        <rFont val="宋体"/>
        <family val="3"/>
        <charset val="134"/>
      </rPr>
      <t>氮气</t>
    </r>
  </si>
  <si>
    <t>项目综合能耗计算表</t>
    <phoneticPr fontId="3" type="noConversion"/>
  </si>
  <si>
    <t>每吨产品能耗计算表</t>
    <phoneticPr fontId="3" type="noConversion"/>
  </si>
  <si>
    <t>单位</t>
    <phoneticPr fontId="3" type="noConversion"/>
  </si>
  <si>
    <t>数量</t>
    <phoneticPr fontId="3" type="noConversion"/>
  </si>
  <si>
    <t>折算当量标煤系数</t>
    <phoneticPr fontId="3" type="noConversion"/>
  </si>
  <si>
    <t>单位能耗</t>
    <phoneticPr fontId="3" type="noConversion"/>
  </si>
  <si>
    <t>kgce/t</t>
  </si>
  <si>
    <t>kgce/t</t>
    <phoneticPr fontId="3" type="noConversion"/>
  </si>
  <si>
    <t>折算能耗</t>
    <phoneticPr fontId="3" type="noConversion"/>
  </si>
  <si>
    <t>kgce/a</t>
    <phoneticPr fontId="3" type="noConversion"/>
  </si>
  <si>
    <t>合计</t>
    <phoneticPr fontId="3" type="noConversion"/>
  </si>
  <si>
    <t>kgce/kW·h</t>
    <phoneticPr fontId="3" type="noConversion"/>
  </si>
  <si>
    <t>kgce/Nm3</t>
    <phoneticPr fontId="3" type="noConversion"/>
  </si>
  <si>
    <t>序号</t>
    <phoneticPr fontId="3" type="noConversion"/>
  </si>
  <si>
    <t>项目名称</t>
    <phoneticPr fontId="3" type="noConversion"/>
  </si>
  <si>
    <t>单位</t>
    <phoneticPr fontId="3" type="noConversion"/>
  </si>
  <si>
    <t>指标</t>
    <phoneticPr fontId="3" type="noConversion"/>
  </si>
  <si>
    <t>一</t>
    <phoneticPr fontId="3" type="noConversion"/>
  </si>
  <si>
    <t>生产规模</t>
    <phoneticPr fontId="3" type="noConversion"/>
  </si>
  <si>
    <t>二</t>
    <phoneticPr fontId="3" type="noConversion"/>
  </si>
  <si>
    <t>产品方案</t>
    <phoneticPr fontId="3" type="noConversion"/>
  </si>
  <si>
    <t>己二腈</t>
    <phoneticPr fontId="3" type="noConversion"/>
  </si>
  <si>
    <t>己二腈二聚物</t>
    <phoneticPr fontId="3" type="noConversion"/>
  </si>
  <si>
    <t>1-亚氨基-2-氰基环戊烷</t>
    <phoneticPr fontId="3" type="noConversion"/>
  </si>
  <si>
    <t>三</t>
    <phoneticPr fontId="3" type="noConversion"/>
  </si>
  <si>
    <t>年操作时间</t>
    <phoneticPr fontId="3" type="noConversion"/>
  </si>
  <si>
    <t>h</t>
    <phoneticPr fontId="3" type="noConversion"/>
  </si>
  <si>
    <t>四</t>
    <phoneticPr fontId="3" type="noConversion"/>
  </si>
  <si>
    <t>主要原材料、辅助原料用量</t>
    <phoneticPr fontId="3" type="noConversion"/>
  </si>
  <si>
    <t>己二酸</t>
    <phoneticPr fontId="3" type="noConversion"/>
  </si>
  <si>
    <t>氨</t>
    <phoneticPr fontId="3" type="noConversion"/>
  </si>
  <si>
    <t>五</t>
    <phoneticPr fontId="3" type="noConversion"/>
  </si>
  <si>
    <t>共用动力消耗</t>
    <phoneticPr fontId="3" type="noConversion"/>
  </si>
  <si>
    <t>电</t>
    <phoneticPr fontId="3" type="noConversion"/>
  </si>
  <si>
    <t>0.25MPa低压蒸汽</t>
    <phoneticPr fontId="3" type="noConversion"/>
  </si>
  <si>
    <t>4MPa中压蒸汽</t>
    <phoneticPr fontId="3" type="noConversion"/>
  </si>
  <si>
    <t>20℃冷却水</t>
    <phoneticPr fontId="3" type="noConversion"/>
  </si>
  <si>
    <t>﹣25℃冷冻盐水</t>
    <phoneticPr fontId="3" type="noConversion"/>
  </si>
  <si>
    <t>氮气</t>
    <phoneticPr fontId="3" type="noConversion"/>
  </si>
  <si>
    <t>仪表空气</t>
    <phoneticPr fontId="3" type="noConversion"/>
  </si>
  <si>
    <t>燃料气</t>
    <phoneticPr fontId="3" type="noConversion"/>
  </si>
  <si>
    <t>六</t>
    <phoneticPr fontId="3" type="noConversion"/>
  </si>
  <si>
    <t>三废排放</t>
    <phoneticPr fontId="3" type="noConversion"/>
  </si>
  <si>
    <t>废水</t>
    <phoneticPr fontId="3" type="noConversion"/>
  </si>
  <si>
    <t>废固</t>
    <phoneticPr fontId="3" type="noConversion"/>
  </si>
  <si>
    <t>废气</t>
    <phoneticPr fontId="3" type="noConversion"/>
  </si>
  <si>
    <t>七</t>
    <phoneticPr fontId="3" type="noConversion"/>
  </si>
  <si>
    <t>全厂定员</t>
    <phoneticPr fontId="3" type="noConversion"/>
  </si>
  <si>
    <t>八</t>
    <phoneticPr fontId="3" type="noConversion"/>
  </si>
  <si>
    <t>总占地面积</t>
    <phoneticPr fontId="3" type="noConversion"/>
  </si>
  <si>
    <t>九</t>
    <phoneticPr fontId="3" type="noConversion"/>
  </si>
  <si>
    <t>综合能耗总量</t>
    <phoneticPr fontId="3" type="noConversion"/>
  </si>
  <si>
    <t>十</t>
    <phoneticPr fontId="3" type="noConversion"/>
  </si>
  <si>
    <t>单位产品综合能耗</t>
    <phoneticPr fontId="3" type="noConversion"/>
  </si>
  <si>
    <t>十一</t>
    <phoneticPr fontId="3" type="noConversion"/>
  </si>
  <si>
    <t>工程项目总投资</t>
    <phoneticPr fontId="3" type="noConversion"/>
  </si>
  <si>
    <t>建设投资</t>
    <phoneticPr fontId="3" type="noConversion"/>
  </si>
  <si>
    <t>流动资金</t>
    <phoneticPr fontId="3" type="noConversion"/>
  </si>
  <si>
    <t>建设期利息</t>
    <phoneticPr fontId="3" type="noConversion"/>
  </si>
  <si>
    <t>十二</t>
    <phoneticPr fontId="3" type="noConversion"/>
  </si>
  <si>
    <t>年总销售收入</t>
    <phoneticPr fontId="3" type="noConversion"/>
  </si>
  <si>
    <t>十三</t>
    <phoneticPr fontId="3" type="noConversion"/>
  </si>
  <si>
    <t>年总成本</t>
    <phoneticPr fontId="3" type="noConversion"/>
  </si>
  <si>
    <t>十四</t>
    <phoneticPr fontId="3" type="noConversion"/>
  </si>
  <si>
    <t>年利润总额</t>
    <phoneticPr fontId="3" type="noConversion"/>
  </si>
  <si>
    <t>十五</t>
    <phoneticPr fontId="3" type="noConversion"/>
  </si>
  <si>
    <t>年销售额税金及附加</t>
    <phoneticPr fontId="3" type="noConversion"/>
  </si>
  <si>
    <t>十六</t>
    <phoneticPr fontId="3" type="noConversion"/>
  </si>
  <si>
    <t>财务评价指标</t>
    <phoneticPr fontId="3" type="noConversion"/>
  </si>
  <si>
    <t>投资利润率</t>
    <phoneticPr fontId="3" type="noConversion"/>
  </si>
  <si>
    <t>投资利税率</t>
    <phoneticPr fontId="3" type="noConversion"/>
  </si>
  <si>
    <t>资本金净利润率</t>
    <phoneticPr fontId="3" type="noConversion"/>
  </si>
  <si>
    <t>财务净现值</t>
    <phoneticPr fontId="3" type="noConversion"/>
  </si>
  <si>
    <t>财务内部收益率</t>
    <phoneticPr fontId="3" type="noConversion"/>
  </si>
  <si>
    <t>十七</t>
    <phoneticPr fontId="3" type="noConversion"/>
  </si>
  <si>
    <t>清偿能力指标</t>
    <phoneticPr fontId="3" type="noConversion"/>
  </si>
  <si>
    <t>人民币借款偿还期</t>
    <phoneticPr fontId="3" type="noConversion"/>
  </si>
  <si>
    <t>年</t>
    <phoneticPr fontId="3" type="noConversion"/>
  </si>
  <si>
    <t>%</t>
    <phoneticPr fontId="3" type="noConversion"/>
  </si>
  <si>
    <t>万元</t>
    <phoneticPr fontId="3" type="noConversion"/>
  </si>
  <si>
    <t>t标煤/a</t>
    <phoneticPr fontId="3" type="noConversion"/>
  </si>
  <si>
    <t>m2</t>
    <phoneticPr fontId="3" type="noConversion"/>
  </si>
  <si>
    <t>t标煤/t产品</t>
    <phoneticPr fontId="3" type="noConversion"/>
  </si>
  <si>
    <t>人</t>
    <phoneticPr fontId="3" type="noConversion"/>
  </si>
  <si>
    <t>t/a</t>
    <phoneticPr fontId="3" type="noConversion"/>
  </si>
  <si>
    <t>m3/h</t>
    <phoneticPr fontId="3" type="noConversion"/>
  </si>
  <si>
    <t>t</t>
    <phoneticPr fontId="3" type="noConversion"/>
  </si>
  <si>
    <t>Nm3</t>
    <phoneticPr fontId="3" type="noConversion"/>
  </si>
  <si>
    <t>kW·h</t>
    <phoneticPr fontId="3" type="noConversion"/>
  </si>
  <si>
    <t>104t/a</t>
    <phoneticPr fontId="3" type="noConversion"/>
  </si>
  <si>
    <t>万元产值综合能耗计算表</t>
    <phoneticPr fontId="3" type="noConversion"/>
  </si>
  <si>
    <t>万元产值消耗</t>
    <phoneticPr fontId="3" type="noConversion"/>
  </si>
  <si>
    <t>折算当量标煤系数</t>
    <phoneticPr fontId="3" type="noConversion"/>
  </si>
  <si>
    <t>单位</t>
    <phoneticPr fontId="3" type="noConversion"/>
  </si>
  <si>
    <t>数量</t>
    <phoneticPr fontId="3" type="noConversion"/>
  </si>
  <si>
    <t>万元产值折算能耗（kgce/万元）</t>
    <phoneticPr fontId="3" type="noConversion"/>
  </si>
  <si>
    <t>合计</t>
    <phoneticPr fontId="3" type="noConversion"/>
  </si>
  <si>
    <t>kgce/kW·h</t>
  </si>
  <si>
    <t>kgce/Nm3</t>
  </si>
  <si>
    <t>单价（元/吨）</t>
    <phoneticPr fontId="3" type="noConversion"/>
  </si>
  <si>
    <t>总费用（万元/年）</t>
    <phoneticPr fontId="3" type="noConversion"/>
  </si>
  <si>
    <t>合计（万元/年）</t>
    <phoneticPr fontId="3" type="noConversion"/>
  </si>
  <si>
    <t>总计直接材料费用（万元/年）</t>
    <phoneticPr fontId="3" type="noConversion"/>
  </si>
  <si>
    <t>序号</t>
    <phoneticPr fontId="3" type="noConversion"/>
  </si>
  <si>
    <t>项目</t>
    <phoneticPr fontId="3" type="noConversion"/>
  </si>
  <si>
    <t>工业中间投入</t>
    <phoneticPr fontId="3" type="noConversion"/>
  </si>
  <si>
    <t>工业增加值</t>
    <phoneticPr fontId="3" type="noConversion"/>
  </si>
  <si>
    <t>工业总产值</t>
    <phoneticPr fontId="3" type="noConversion"/>
  </si>
  <si>
    <t>本期应交增税值</t>
    <phoneticPr fontId="3" type="noConversion"/>
  </si>
  <si>
    <t>产品</t>
    <phoneticPr fontId="3" type="noConversion"/>
  </si>
  <si>
    <t>规格（wt%）</t>
    <phoneticPr fontId="3" type="noConversion"/>
  </si>
  <si>
    <t>产量（吨/年）</t>
    <phoneticPr fontId="3" type="noConversion"/>
  </si>
  <si>
    <t>单位售价（元/吨）</t>
    <phoneticPr fontId="3" type="noConversion"/>
  </si>
  <si>
    <t>总售价（万元/年）</t>
    <phoneticPr fontId="3" type="noConversion"/>
  </si>
  <si>
    <t>总计（万元/年）</t>
    <phoneticPr fontId="3" type="noConversion"/>
  </si>
  <si>
    <t>税率（%）</t>
    <phoneticPr fontId="3" type="noConversion"/>
  </si>
  <si>
    <t>税金（万元）</t>
    <phoneticPr fontId="3" type="noConversion"/>
  </si>
  <si>
    <t>产品销售收入</t>
    <phoneticPr fontId="3" type="noConversion"/>
  </si>
  <si>
    <t>销项税额</t>
    <phoneticPr fontId="3" type="noConversion"/>
  </si>
  <si>
    <t>产品总成本</t>
    <phoneticPr fontId="3" type="noConversion"/>
  </si>
  <si>
    <t>购入原材料和动力费</t>
    <phoneticPr fontId="3" type="noConversion"/>
  </si>
  <si>
    <t>进项税额</t>
    <phoneticPr fontId="3" type="noConversion"/>
  </si>
  <si>
    <t>增值税</t>
    <phoneticPr fontId="3" type="noConversion"/>
  </si>
  <si>
    <t>城市维护建设费</t>
    <phoneticPr fontId="3" type="noConversion"/>
  </si>
  <si>
    <t>教育附加税</t>
    <phoneticPr fontId="3" type="noConversion"/>
  </si>
  <si>
    <t>销售税金及附加</t>
    <phoneticPr fontId="3" type="noConversion"/>
  </si>
  <si>
    <t>企业所得税</t>
    <phoneticPr fontId="3" type="noConversion"/>
  </si>
  <si>
    <t>行政办公楼</t>
  </si>
  <si>
    <t>总经理</t>
  </si>
  <si>
    <t>总工程师</t>
  </si>
  <si>
    <t>办公室</t>
  </si>
  <si>
    <t>财务部</t>
  </si>
  <si>
    <t>生产部</t>
  </si>
  <si>
    <t>主任</t>
  </si>
  <si>
    <t>员工</t>
  </si>
  <si>
    <t>应急处理中心</t>
  </si>
  <si>
    <t>部长</t>
  </si>
  <si>
    <t>保卫处</t>
  </si>
  <si>
    <t>化验中心</t>
  </si>
  <si>
    <t>市场部</t>
  </si>
  <si>
    <t>采购部</t>
  </si>
  <si>
    <t>销售部</t>
  </si>
  <si>
    <t>仪修机修车间</t>
  </si>
  <si>
    <t>后勤部</t>
  </si>
  <si>
    <t>总计</t>
  </si>
  <si>
    <t>部门</t>
    <phoneticPr fontId="3" type="noConversion"/>
  </si>
  <si>
    <t>人数/班</t>
    <phoneticPr fontId="3" type="noConversion"/>
  </si>
  <si>
    <t>班次</t>
    <phoneticPr fontId="3" type="noConversion"/>
  </si>
  <si>
    <t>人数小计/人</t>
    <phoneticPr fontId="3" type="noConversion"/>
  </si>
  <si>
    <t>个人工资</t>
    <phoneticPr fontId="3" type="noConversion"/>
  </si>
  <si>
    <t>总工资（万元/年）</t>
    <phoneticPr fontId="3" type="noConversion"/>
  </si>
  <si>
    <t>项目</t>
  </si>
  <si>
    <t>项目</t>
    <phoneticPr fontId="3" type="noConversion"/>
  </si>
  <si>
    <t>生活用水</t>
    <phoneticPr fontId="3" type="noConversion"/>
  </si>
  <si>
    <t>单位（L/天）</t>
    <phoneticPr fontId="3" type="noConversion"/>
  </si>
  <si>
    <t>总人数（人）</t>
    <phoneticPr fontId="3" type="noConversion"/>
  </si>
  <si>
    <t>生活用水消耗量（吨）</t>
    <phoneticPr fontId="3" type="noConversion"/>
  </si>
  <si>
    <t>单价（元/吨）</t>
    <phoneticPr fontId="3" type="noConversion"/>
  </si>
  <si>
    <t>年用水费（万元/年）</t>
    <phoneticPr fontId="3" type="noConversion"/>
  </si>
  <si>
    <t>编号</t>
  </si>
  <si>
    <t>编号</t>
    <phoneticPr fontId="3" type="noConversion"/>
  </si>
  <si>
    <t>设备名称</t>
    <phoneticPr fontId="3" type="noConversion"/>
  </si>
  <si>
    <t>价格（万元）</t>
  </si>
  <si>
    <t>价格（万元）</t>
    <phoneticPr fontId="3" type="noConversion"/>
  </si>
  <si>
    <t>主要设备购置费用</t>
    <phoneticPr fontId="3" type="noConversion"/>
  </si>
  <si>
    <t>塔设备</t>
  </si>
  <si>
    <t>塔设备</t>
    <phoneticPr fontId="3" type="noConversion"/>
  </si>
  <si>
    <t>反应器</t>
  </si>
  <si>
    <t>反应器</t>
    <phoneticPr fontId="3" type="noConversion"/>
  </si>
  <si>
    <t>气液分离器</t>
  </si>
  <si>
    <t>气液分离器</t>
    <phoneticPr fontId="3" type="noConversion"/>
  </si>
  <si>
    <t>换热器</t>
  </si>
  <si>
    <t>换热器</t>
    <phoneticPr fontId="3" type="noConversion"/>
  </si>
  <si>
    <t>压缩机</t>
  </si>
  <si>
    <t>压缩机</t>
    <phoneticPr fontId="3" type="noConversion"/>
  </si>
  <si>
    <t>储罐</t>
    <phoneticPr fontId="3" type="noConversion"/>
  </si>
  <si>
    <t>泵</t>
  </si>
  <si>
    <t>泵</t>
    <phoneticPr fontId="3" type="noConversion"/>
  </si>
  <si>
    <t>总计</t>
    <phoneticPr fontId="3" type="noConversion"/>
  </si>
  <si>
    <t>工艺设备费</t>
  </si>
  <si>
    <t>设备内部填充费</t>
  </si>
  <si>
    <t>工艺管道及防腐保温工程费</t>
  </si>
  <si>
    <t>仪表控制费</t>
  </si>
  <si>
    <t>电动、变电配电、电讯设备</t>
  </si>
  <si>
    <t>生产工具费</t>
  </si>
  <si>
    <t>备品备件购置费</t>
  </si>
  <si>
    <t>设备运杂费</t>
  </si>
  <si>
    <t>公用工程设备购置费</t>
  </si>
  <si>
    <t>车辆购置添加费</t>
  </si>
  <si>
    <t>名称</t>
  </si>
  <si>
    <t>名称</t>
    <phoneticPr fontId="3" type="noConversion"/>
  </si>
  <si>
    <t>费率（%）</t>
  </si>
  <si>
    <t>费率（%）</t>
    <phoneticPr fontId="3" type="noConversion"/>
  </si>
  <si>
    <t>总计（万元）</t>
    <phoneticPr fontId="3" type="noConversion"/>
  </si>
  <si>
    <t>小计</t>
    <phoneticPr fontId="3" type="noConversion"/>
  </si>
  <si>
    <t>设备购置一览表</t>
    <phoneticPr fontId="3" type="noConversion"/>
  </si>
  <si>
    <t>价格（万元)</t>
    <phoneticPr fontId="3" type="noConversion"/>
  </si>
  <si>
    <t>工业设备费</t>
    <phoneticPr fontId="3" type="noConversion"/>
  </si>
  <si>
    <t>万元</t>
    <phoneticPr fontId="3" type="noConversion"/>
  </si>
  <si>
    <t>安装费用一览表</t>
    <phoneticPr fontId="3" type="noConversion"/>
  </si>
  <si>
    <t>安装因子</t>
    <phoneticPr fontId="3" type="noConversion"/>
  </si>
  <si>
    <t>原价（万元）</t>
    <phoneticPr fontId="3" type="noConversion"/>
  </si>
  <si>
    <t>工艺管道</t>
  </si>
  <si>
    <t>仪表及自控系统</t>
  </si>
  <si>
    <t>其他设备</t>
  </si>
  <si>
    <t>直接费用一览表</t>
    <phoneticPr fontId="3" type="noConversion"/>
  </si>
  <si>
    <t>设备总费用（万元）</t>
    <phoneticPr fontId="3" type="noConversion"/>
  </si>
  <si>
    <t>间接费用一览表</t>
    <phoneticPr fontId="3" type="noConversion"/>
  </si>
  <si>
    <t>基数</t>
  </si>
  <si>
    <t>间接费用</t>
  </si>
  <si>
    <t>税金一览表</t>
    <phoneticPr fontId="3" type="noConversion"/>
  </si>
  <si>
    <t>营业税</t>
  </si>
  <si>
    <t>城市建设维护税</t>
  </si>
  <si>
    <t>教育附加税</t>
  </si>
  <si>
    <t>建筑工程费用一览表</t>
    <phoneticPr fontId="3" type="noConversion"/>
  </si>
  <si>
    <t>直接费用</t>
  </si>
  <si>
    <t>税金</t>
  </si>
  <si>
    <t>合计</t>
  </si>
  <si>
    <t>固定资产投资费用汇总一览表</t>
    <phoneticPr fontId="3" type="noConversion"/>
  </si>
  <si>
    <t>工程设备费</t>
  </si>
  <si>
    <t>建筑工程费</t>
  </si>
  <si>
    <t>安装工程费</t>
  </si>
  <si>
    <t>无形资产费用</t>
    <phoneticPr fontId="3" type="noConversion"/>
  </si>
  <si>
    <t>单价（万元/㎡）</t>
  </si>
  <si>
    <t>技术转让费</t>
  </si>
  <si>
    <t>-</t>
    <phoneticPr fontId="3" type="noConversion"/>
  </si>
  <si>
    <t>递延资产费用</t>
    <phoneticPr fontId="3" type="noConversion"/>
  </si>
  <si>
    <t>建设单位管理费</t>
  </si>
  <si>
    <t>装置联合启动调试费</t>
  </si>
  <si>
    <t>研究试验费</t>
  </si>
  <si>
    <t>城市基础设施配套费</t>
  </si>
  <si>
    <t>人数</t>
  </si>
  <si>
    <t>费用（元/人）</t>
  </si>
  <si>
    <t>其他费用（万元）</t>
  </si>
  <si>
    <t>总费用（万元）</t>
  </si>
  <si>
    <t>生产准备费</t>
  </si>
  <si>
    <t>办公及生活家居购置费</t>
  </si>
  <si>
    <t>合计（万元）</t>
  </si>
  <si>
    <t>建设投资估算表</t>
    <phoneticPr fontId="3" type="noConversion"/>
  </si>
  <si>
    <t>固定资产</t>
  </si>
  <si>
    <t>无形资产</t>
  </si>
  <si>
    <t>递延资产</t>
  </si>
  <si>
    <t>预备费用</t>
  </si>
  <si>
    <t>建设投资合计</t>
  </si>
  <si>
    <t>项目总投资汇总表</t>
    <phoneticPr fontId="3" type="noConversion"/>
  </si>
  <si>
    <t>序号</t>
  </si>
  <si>
    <t>建设投资</t>
  </si>
  <si>
    <t>建设期利息</t>
  </si>
  <si>
    <t>流动资金</t>
  </si>
  <si>
    <t>期限</t>
  </si>
  <si>
    <t>一年以内（含一年）</t>
  </si>
  <si>
    <t>一至五年（含五年）</t>
  </si>
  <si>
    <t>五年以上</t>
  </si>
  <si>
    <t>年利率/%</t>
  </si>
  <si>
    <t>2023年中国人民银行贷款利率</t>
    <phoneticPr fontId="3" type="noConversion"/>
  </si>
  <si>
    <t>建设期利息估算表（人民币单位：万元）</t>
    <phoneticPr fontId="3" type="noConversion"/>
  </si>
  <si>
    <t>年份</t>
  </si>
  <si>
    <t>借款额</t>
  </si>
  <si>
    <t>借款利息</t>
  </si>
  <si>
    <t>借款本息和</t>
  </si>
  <si>
    <t>还款金额</t>
  </si>
  <si>
    <t>建设期借款本息和</t>
  </si>
  <si>
    <t>建设期贷款总利息</t>
  </si>
  <si>
    <t>流动资金</t>
    <phoneticPr fontId="3" type="noConversion"/>
  </si>
  <si>
    <t>金额（万元/月）</t>
    <phoneticPr fontId="3" type="noConversion"/>
  </si>
  <si>
    <t>应收账款</t>
  </si>
  <si>
    <t>外购原材料</t>
  </si>
  <si>
    <t>外购燃料和动力</t>
  </si>
  <si>
    <t>在制品费</t>
  </si>
  <si>
    <t>制成品费</t>
  </si>
  <si>
    <t>存货</t>
  </si>
  <si>
    <t>现金</t>
  </si>
  <si>
    <t>应付账款</t>
  </si>
  <si>
    <t>流动资产</t>
  </si>
  <si>
    <t>流动资金额</t>
  </si>
  <si>
    <t>己二腈</t>
    <phoneticPr fontId="3" type="noConversion"/>
  </si>
  <si>
    <t>ICCP</t>
    <phoneticPr fontId="3" type="noConversion"/>
  </si>
  <si>
    <t>己二腈二聚物</t>
    <phoneticPr fontId="3" type="noConversion"/>
  </si>
  <si>
    <t>燃料气的成本计算：</t>
    <phoneticPr fontId="3" type="noConversion"/>
  </si>
  <si>
    <t>产品总产量</t>
    <phoneticPr fontId="3" type="noConversion"/>
  </si>
  <si>
    <t>烟道气</t>
    <phoneticPr fontId="3" type="noConversion"/>
  </si>
  <si>
    <t>1吨煤=6690Nm3烟道气</t>
    <phoneticPr fontId="3" type="noConversion"/>
  </si>
  <si>
    <t>2.0324 MJ/(t·℃）</t>
    <phoneticPr fontId="3" type="noConversion"/>
  </si>
  <si>
    <t>燃料和烟道气关系</t>
    <phoneticPr fontId="3" type="noConversion"/>
  </si>
  <si>
    <t>一吨煤产生的烟道气质量/t</t>
    <phoneticPr fontId="3" type="noConversion"/>
  </si>
  <si>
    <t>600℃以上的烟道气比热容</t>
    <phoneticPr fontId="3" type="noConversion"/>
  </si>
  <si>
    <r>
      <t>1</t>
    </r>
    <r>
      <rPr>
        <sz val="10.45"/>
        <color rgb="FF000000"/>
        <rFont val="宋体"/>
        <family val="1"/>
        <charset val="134"/>
      </rPr>
      <t>吨煤产生6690立方米燃料气</t>
    </r>
    <phoneticPr fontId="3" type="noConversion"/>
  </si>
  <si>
    <t>6.69吨</t>
    <phoneticPr fontId="3" type="noConversion"/>
  </si>
  <si>
    <t>销售费用</t>
    <phoneticPr fontId="3" type="noConversion"/>
  </si>
  <si>
    <t>800元/吨</t>
    <phoneticPr fontId="3" type="noConversion"/>
  </si>
  <si>
    <t>项目</t>
    <phoneticPr fontId="3" type="noConversion"/>
  </si>
  <si>
    <t>流动资金</t>
    <phoneticPr fontId="3" type="noConversion"/>
  </si>
  <si>
    <t>折旧费</t>
  </si>
  <si>
    <t>折旧费</t>
    <phoneticPr fontId="3" type="noConversion"/>
  </si>
  <si>
    <t>原值（万元）</t>
  </si>
  <si>
    <t>折旧年限（年）</t>
  </si>
  <si>
    <t>年折旧率</t>
  </si>
  <si>
    <t>年折旧费（万元/年)</t>
  </si>
  <si>
    <t>生产设备</t>
  </si>
  <si>
    <t>房屋建筑</t>
  </si>
  <si>
    <t>生产器具、工具、家具</t>
  </si>
  <si>
    <t>电气设备</t>
  </si>
  <si>
    <t>车辆</t>
  </si>
  <si>
    <t>摊销费</t>
  </si>
  <si>
    <t>摊销费</t>
    <phoneticPr fontId="3" type="noConversion"/>
  </si>
  <si>
    <t>名称</t>
    <phoneticPr fontId="3" type="noConversion"/>
  </si>
  <si>
    <t>费用（万元）</t>
    <phoneticPr fontId="3" type="noConversion"/>
  </si>
  <si>
    <t>无形资产费用</t>
    <phoneticPr fontId="3" type="noConversion"/>
  </si>
  <si>
    <t>递延资产费用</t>
    <phoneticPr fontId="3" type="noConversion"/>
  </si>
  <si>
    <t>总计</t>
    <phoneticPr fontId="3" type="noConversion"/>
  </si>
  <si>
    <t>修理费</t>
    <phoneticPr fontId="3" type="noConversion"/>
  </si>
  <si>
    <t>编号</t>
    <phoneticPr fontId="3" type="noConversion"/>
  </si>
  <si>
    <t>费率（%）</t>
    <phoneticPr fontId="3" type="noConversion"/>
  </si>
  <si>
    <t>基数</t>
    <phoneticPr fontId="3" type="noConversion"/>
  </si>
  <si>
    <t>价格（万元）</t>
    <phoneticPr fontId="3" type="noConversion"/>
  </si>
  <si>
    <t>管理费</t>
  </si>
  <si>
    <t>管理费</t>
    <phoneticPr fontId="3" type="noConversion"/>
  </si>
  <si>
    <t>财务费</t>
  </si>
  <si>
    <t>财务费</t>
    <phoneticPr fontId="3" type="noConversion"/>
  </si>
  <si>
    <t>三废处理</t>
    <phoneticPr fontId="3" type="noConversion"/>
  </si>
  <si>
    <t>废气</t>
  </si>
  <si>
    <t>废液</t>
  </si>
  <si>
    <t>总计（万元/年）</t>
  </si>
  <si>
    <t>估算成本（万元）</t>
  </si>
  <si>
    <r>
      <rPr>
        <b/>
        <sz val="10.5"/>
        <color rgb="FFFFFFFF"/>
        <rFont val="宋体"/>
        <family val="3"/>
        <charset val="134"/>
      </rPr>
      <t>占生产成本比例（</t>
    </r>
    <r>
      <rPr>
        <b/>
        <sz val="10.5"/>
        <color rgb="FFFFFFFF"/>
        <rFont val="Times New Roman"/>
        <family val="1"/>
      </rPr>
      <t>%</t>
    </r>
    <r>
      <rPr>
        <b/>
        <sz val="10.5"/>
        <color rgb="FFFFFFFF"/>
        <rFont val="宋体"/>
        <family val="3"/>
        <charset val="134"/>
      </rPr>
      <t>）</t>
    </r>
  </si>
  <si>
    <t>原材料及辅助费</t>
  </si>
  <si>
    <t>燃料动力费</t>
  </si>
  <si>
    <t>人工费</t>
  </si>
  <si>
    <t>维修费</t>
  </si>
  <si>
    <t>销售费</t>
  </si>
  <si>
    <t>其他直接支出</t>
  </si>
  <si>
    <t>总成本费用</t>
  </si>
  <si>
    <t>可变成本</t>
  </si>
  <si>
    <t>固定成本</t>
  </si>
  <si>
    <t>经营成本</t>
  </si>
  <si>
    <t>产品成本汇总表</t>
    <phoneticPr fontId="3" type="noConversion"/>
  </si>
  <si>
    <t>序号</t>
    <phoneticPr fontId="3" type="noConversion"/>
  </si>
  <si>
    <t>占工资总额比例（%）</t>
    <phoneticPr fontId="3" type="noConversion"/>
  </si>
  <si>
    <t>福利名称</t>
    <phoneticPr fontId="3" type="noConversion"/>
  </si>
  <si>
    <t>总计（万元/年）</t>
    <phoneticPr fontId="3" type="noConversion"/>
  </si>
  <si>
    <t>养老保险金</t>
    <phoneticPr fontId="3" type="noConversion"/>
  </si>
  <si>
    <t>失业保险金</t>
    <phoneticPr fontId="3" type="noConversion"/>
  </si>
  <si>
    <t>医疗保险金</t>
    <phoneticPr fontId="3" type="noConversion"/>
  </si>
  <si>
    <t>生育保险金</t>
    <phoneticPr fontId="3" type="noConversion"/>
  </si>
  <si>
    <t>人工费总计（万元/年）</t>
    <phoneticPr fontId="3" type="noConversion"/>
  </si>
  <si>
    <t>利润与利润分配表</t>
    <phoneticPr fontId="3" type="noConversion"/>
  </si>
  <si>
    <t>金额（万元）</t>
    <phoneticPr fontId="3" type="noConversion"/>
  </si>
  <si>
    <t>备注</t>
    <phoneticPr fontId="3" type="noConversion"/>
  </si>
  <si>
    <t>产品销售收入</t>
    <phoneticPr fontId="3" type="noConversion"/>
  </si>
  <si>
    <t>总成本费用</t>
    <phoneticPr fontId="3" type="noConversion"/>
  </si>
  <si>
    <t>销售税金及附加</t>
    <phoneticPr fontId="3" type="noConversion"/>
  </si>
  <si>
    <t>利润总额</t>
    <phoneticPr fontId="3" type="noConversion"/>
  </si>
  <si>
    <t>所得税</t>
    <phoneticPr fontId="3" type="noConversion"/>
  </si>
  <si>
    <t>净利润</t>
    <phoneticPr fontId="3" type="noConversion"/>
  </si>
  <si>
    <t>法定盈余公积金</t>
    <phoneticPr fontId="3" type="noConversion"/>
  </si>
  <si>
    <t>任意盈余公积金</t>
    <phoneticPr fontId="3" type="noConversion"/>
  </si>
  <si>
    <t>未分配利润</t>
    <phoneticPr fontId="3" type="noConversion"/>
  </si>
  <si>
    <t>=1-2-3</t>
    <phoneticPr fontId="3" type="noConversion"/>
  </si>
  <si>
    <t>利润总额25%</t>
    <phoneticPr fontId="3" type="noConversion"/>
  </si>
  <si>
    <t>=4-5</t>
    <phoneticPr fontId="3" type="noConversion"/>
  </si>
  <si>
    <t>净利润10%</t>
    <phoneticPr fontId="3" type="noConversion"/>
  </si>
  <si>
    <t>净利润5%</t>
    <phoneticPr fontId="3" type="noConversion"/>
  </si>
  <si>
    <t>=6-7-8</t>
    <phoneticPr fontId="3" type="noConversion"/>
  </si>
  <si>
    <t>财务损益表</t>
    <phoneticPr fontId="3" type="noConversion"/>
  </si>
  <si>
    <t>建设期</t>
    <phoneticPr fontId="3" type="noConversion"/>
  </si>
  <si>
    <t>投产期</t>
    <phoneticPr fontId="3" type="noConversion"/>
  </si>
  <si>
    <t>达产期</t>
    <phoneticPr fontId="3" type="noConversion"/>
  </si>
  <si>
    <t>生产负荷（%）</t>
    <phoneticPr fontId="3" type="noConversion"/>
  </si>
  <si>
    <t>销项税额</t>
    <phoneticPr fontId="3" type="noConversion"/>
  </si>
  <si>
    <t>进项税额</t>
    <phoneticPr fontId="3" type="noConversion"/>
  </si>
  <si>
    <t>增值税</t>
    <phoneticPr fontId="3" type="noConversion"/>
  </si>
  <si>
    <t>城市维护建设费</t>
    <phoneticPr fontId="3" type="noConversion"/>
  </si>
  <si>
    <t>教育附加税</t>
    <phoneticPr fontId="3" type="noConversion"/>
  </si>
  <si>
    <t>小计</t>
    <phoneticPr fontId="3" type="noConversion"/>
  </si>
  <si>
    <t>一</t>
    <phoneticPr fontId="3" type="noConversion"/>
  </si>
  <si>
    <t>二</t>
    <phoneticPr fontId="3" type="noConversion"/>
  </si>
  <si>
    <t>三</t>
    <phoneticPr fontId="3" type="noConversion"/>
  </si>
  <si>
    <t>四</t>
    <phoneticPr fontId="3" type="noConversion"/>
  </si>
  <si>
    <t>五</t>
    <phoneticPr fontId="3" type="noConversion"/>
  </si>
  <si>
    <t>六</t>
    <phoneticPr fontId="3" type="noConversion"/>
  </si>
  <si>
    <t>财务现金流量表</t>
    <phoneticPr fontId="3" type="noConversion"/>
  </si>
  <si>
    <t>现金流入</t>
    <phoneticPr fontId="3" type="noConversion"/>
  </si>
  <si>
    <t>销售收入</t>
    <phoneticPr fontId="3" type="noConversion"/>
  </si>
  <si>
    <t>回收固定资产余值</t>
    <phoneticPr fontId="3" type="noConversion"/>
  </si>
  <si>
    <t>回收流动资金</t>
    <phoneticPr fontId="3" type="noConversion"/>
  </si>
  <si>
    <t>现金流出</t>
    <phoneticPr fontId="3" type="noConversion"/>
  </si>
  <si>
    <t>经营成本</t>
    <phoneticPr fontId="3" type="noConversion"/>
  </si>
  <si>
    <t>偿还本息</t>
    <phoneticPr fontId="3" type="noConversion"/>
  </si>
  <si>
    <t>所得税前现金流量</t>
    <phoneticPr fontId="3" type="noConversion"/>
  </si>
  <si>
    <t>累计所得税前净现金流量</t>
    <phoneticPr fontId="3" type="noConversion"/>
  </si>
  <si>
    <t>所得税后净现金流量</t>
    <phoneticPr fontId="3" type="noConversion"/>
  </si>
  <si>
    <t>七</t>
    <phoneticPr fontId="3" type="noConversion"/>
  </si>
  <si>
    <t>累计所得税后净现金流量</t>
    <phoneticPr fontId="3" type="noConversion"/>
  </si>
  <si>
    <t>权益投资现金流量表</t>
    <phoneticPr fontId="3" type="noConversion"/>
  </si>
  <si>
    <t>净现金流量</t>
    <phoneticPr fontId="3" type="noConversion"/>
  </si>
  <si>
    <t>累计现金流量</t>
    <phoneticPr fontId="3" type="noConversion"/>
  </si>
  <si>
    <r>
      <rPr>
        <b/>
        <sz val="11"/>
        <color theme="1"/>
        <rFont val="宋体"/>
        <family val="3"/>
        <charset val="134"/>
      </rPr>
      <t>静态投资回收期</t>
    </r>
  </si>
  <si>
    <r>
      <rPr>
        <b/>
        <sz val="11"/>
        <color theme="1"/>
        <rFont val="宋体"/>
        <family val="3"/>
        <charset val="134"/>
      </rPr>
      <t>投资利润率</t>
    </r>
  </si>
  <si>
    <r>
      <rPr>
        <b/>
        <sz val="11"/>
        <color theme="1"/>
        <rFont val="宋体"/>
        <family val="3"/>
        <charset val="134"/>
      </rPr>
      <t>投资利税率</t>
    </r>
  </si>
  <si>
    <r>
      <rPr>
        <b/>
        <sz val="11"/>
        <color theme="1"/>
        <rFont val="宋体"/>
        <family val="3"/>
        <charset val="134"/>
      </rPr>
      <t>资本金净利润率</t>
    </r>
  </si>
  <si>
    <t>土建工程</t>
    <phoneticPr fontId="3" type="noConversion"/>
  </si>
  <si>
    <t>场地建设</t>
    <phoneticPr fontId="3" type="noConversion"/>
  </si>
  <si>
    <t>设计用地（万㎡）</t>
    <phoneticPr fontId="3" type="noConversion"/>
  </si>
  <si>
    <t>塔设备价格表</t>
    <phoneticPr fontId="3" type="noConversion"/>
  </si>
  <si>
    <t>设备位号</t>
    <phoneticPr fontId="3" type="noConversion"/>
  </si>
  <si>
    <t>T0301</t>
    <phoneticPr fontId="3" type="noConversion"/>
  </si>
  <si>
    <t>T0302</t>
    <phoneticPr fontId="3" type="noConversion"/>
  </si>
  <si>
    <t>T0303</t>
    <phoneticPr fontId="3" type="noConversion"/>
  </si>
  <si>
    <t>S30408</t>
  </si>
  <si>
    <t>材料</t>
  </si>
  <si>
    <t>重量/t</t>
  </si>
  <si>
    <t>数量</t>
  </si>
  <si>
    <t>反应器价格表</t>
    <phoneticPr fontId="3" type="noConversion"/>
  </si>
  <si>
    <t>R0101</t>
  </si>
  <si>
    <t>R0102</t>
  </si>
  <si>
    <t>R0201</t>
  </si>
  <si>
    <t>气液分离器价格表</t>
    <phoneticPr fontId="3" type="noConversion"/>
  </si>
  <si>
    <t>V0101</t>
  </si>
  <si>
    <t>立式丝网分离器</t>
  </si>
  <si>
    <t>Q345R</t>
    <phoneticPr fontId="3" type="noConversion"/>
  </si>
  <si>
    <t>S30408</t>
    <phoneticPr fontId="3" type="noConversion"/>
  </si>
  <si>
    <t>换热器价格表</t>
    <phoneticPr fontId="3" type="noConversion"/>
  </si>
  <si>
    <t>E0101</t>
  </si>
  <si>
    <t>E0102</t>
  </si>
  <si>
    <t>E0103</t>
  </si>
  <si>
    <t>压缩机价格表</t>
    <phoneticPr fontId="3" type="noConversion"/>
  </si>
  <si>
    <t>C0201</t>
  </si>
  <si>
    <t>C0301</t>
  </si>
  <si>
    <t>储罐价格表</t>
    <phoneticPr fontId="3" type="noConversion"/>
  </si>
  <si>
    <t>V0401</t>
  </si>
  <si>
    <t>材料</t>
    <phoneticPr fontId="3" type="noConversion"/>
  </si>
  <si>
    <t>Q235-A</t>
  </si>
  <si>
    <t>泵价格表</t>
    <phoneticPr fontId="3" type="noConversion"/>
  </si>
  <si>
    <t>P0101A/B</t>
  </si>
  <si>
    <t>P0102A/B</t>
  </si>
  <si>
    <t>P0103A/B</t>
  </si>
  <si>
    <t>P0201A/B</t>
  </si>
  <si>
    <t>P0202A/B</t>
  </si>
  <si>
    <t>P0301A/B</t>
  </si>
  <si>
    <t>P0302A/B</t>
  </si>
  <si>
    <t>P0303A/B</t>
  </si>
  <si>
    <t>P0304A/B</t>
  </si>
  <si>
    <t>P0305A/B</t>
  </si>
  <si>
    <t>P0306A/B</t>
  </si>
  <si>
    <t>P0307A/B</t>
  </si>
  <si>
    <t>P0308A/B</t>
  </si>
  <si>
    <t>流动资金估算表</t>
    <phoneticPr fontId="3" type="noConversion"/>
  </si>
  <si>
    <t>税金估算表</t>
    <phoneticPr fontId="3" type="noConversion"/>
  </si>
  <si>
    <t>建设期投资</t>
    <phoneticPr fontId="3" type="noConversion"/>
  </si>
  <si>
    <r>
      <rPr>
        <b/>
        <sz val="11"/>
        <color theme="1"/>
        <rFont val="等线"/>
        <family val="2"/>
        <charset val="134"/>
      </rPr>
      <t>累计折现流量表</t>
    </r>
    <phoneticPr fontId="3" type="noConversion"/>
  </si>
  <si>
    <r>
      <rPr>
        <b/>
        <sz val="10.5"/>
        <color rgb="FFFFFFFF"/>
        <rFont val="宋体"/>
        <family val="3"/>
        <charset val="134"/>
      </rPr>
      <t>年份</t>
    </r>
    <r>
      <rPr>
        <b/>
        <sz val="10.5"/>
        <color rgb="FFFFFFFF"/>
        <rFont val="Times New Roman"/>
        <family val="1"/>
      </rPr>
      <t>t</t>
    </r>
  </si>
  <si>
    <r>
      <rPr>
        <b/>
        <sz val="10.5"/>
        <color rgb="FFFFFFFF"/>
        <rFont val="Times New Roman"/>
        <family val="1"/>
      </rPr>
      <t>(CI-CO)</t>
    </r>
    <r>
      <rPr>
        <b/>
        <vertAlign val="subscript"/>
        <sz val="10.5"/>
        <color rgb="FFFFFFFF"/>
        <rFont val="Times New Roman"/>
        <family val="1"/>
      </rPr>
      <t>t</t>
    </r>
  </si>
  <si>
    <r>
      <rPr>
        <b/>
        <sz val="10.5"/>
        <color rgb="FFFFFFFF"/>
        <rFont val="Times New Roman"/>
        <family val="1"/>
      </rPr>
      <t>(1+i</t>
    </r>
    <r>
      <rPr>
        <b/>
        <vertAlign val="subscript"/>
        <sz val="10.5"/>
        <color rgb="FFFFFFFF"/>
        <rFont val="Times New Roman"/>
        <family val="1"/>
      </rPr>
      <t>n</t>
    </r>
    <r>
      <rPr>
        <b/>
        <vertAlign val="superscript"/>
        <sz val="10.5"/>
        <color rgb="FFFFFFFF"/>
        <rFont val="Times New Roman"/>
        <family val="1"/>
      </rPr>
      <t>*</t>
    </r>
    <r>
      <rPr>
        <b/>
        <sz val="10.5"/>
        <color rgb="FFFFFFFF"/>
        <rFont val="Times New Roman"/>
        <family val="1"/>
      </rPr>
      <t>)</t>
    </r>
    <r>
      <rPr>
        <b/>
        <vertAlign val="superscript"/>
        <sz val="10.5"/>
        <color rgb="FFFFFFFF"/>
        <rFont val="Times New Roman"/>
        <family val="1"/>
      </rPr>
      <t>t</t>
    </r>
  </si>
  <si>
    <r>
      <rPr>
        <b/>
        <sz val="10.5"/>
        <color rgb="FFFFFFFF"/>
        <rFont val="Times New Roman"/>
        <family val="1"/>
      </rPr>
      <t>(CI-CO)</t>
    </r>
    <r>
      <rPr>
        <b/>
        <vertAlign val="subscript"/>
        <sz val="10.5"/>
        <color rgb="FFFFFFFF"/>
        <rFont val="Times New Roman"/>
        <family val="1"/>
      </rPr>
      <t>t</t>
    </r>
    <r>
      <rPr>
        <b/>
        <sz val="10.5"/>
        <color rgb="FFFFFFFF"/>
        <rFont val="Times New Roman"/>
        <family val="1"/>
      </rPr>
      <t>/(1+i</t>
    </r>
    <r>
      <rPr>
        <b/>
        <vertAlign val="subscript"/>
        <sz val="10.5"/>
        <color rgb="FFFFFFFF"/>
        <rFont val="Times New Roman"/>
        <family val="1"/>
      </rPr>
      <t>n</t>
    </r>
    <r>
      <rPr>
        <b/>
        <vertAlign val="superscript"/>
        <sz val="10.5"/>
        <color rgb="FFFFFFFF"/>
        <rFont val="Times New Roman"/>
        <family val="1"/>
      </rPr>
      <t>*</t>
    </r>
    <r>
      <rPr>
        <b/>
        <sz val="10.5"/>
        <color rgb="FFFFFFFF"/>
        <rFont val="Times New Roman"/>
        <family val="1"/>
      </rPr>
      <t>)</t>
    </r>
    <r>
      <rPr>
        <b/>
        <vertAlign val="superscript"/>
        <sz val="10.5"/>
        <color rgb="FFFFFFFF"/>
        <rFont val="Times New Roman"/>
        <family val="1"/>
      </rPr>
      <t>t</t>
    </r>
  </si>
  <si>
    <r>
      <rPr>
        <b/>
        <sz val="10.5"/>
        <color rgb="FFFFFFFF"/>
        <rFont val="Times New Roman"/>
        <family val="1"/>
      </rPr>
      <t>∑(CI-CO)</t>
    </r>
    <r>
      <rPr>
        <b/>
        <vertAlign val="subscript"/>
        <sz val="10.5"/>
        <color rgb="FFFFFFFF"/>
        <rFont val="Times New Roman"/>
        <family val="1"/>
      </rPr>
      <t>t</t>
    </r>
    <r>
      <rPr>
        <b/>
        <sz val="10.5"/>
        <color rgb="FFFFFFFF"/>
        <rFont val="Times New Roman"/>
        <family val="1"/>
      </rPr>
      <t>/(1+i</t>
    </r>
    <r>
      <rPr>
        <b/>
        <vertAlign val="subscript"/>
        <sz val="10.5"/>
        <color rgb="FFFFFFFF"/>
        <rFont val="Times New Roman"/>
        <family val="1"/>
      </rPr>
      <t>n</t>
    </r>
    <r>
      <rPr>
        <b/>
        <vertAlign val="superscript"/>
        <sz val="10.5"/>
        <color rgb="FFFFFFFF"/>
        <rFont val="Times New Roman"/>
        <family val="1"/>
      </rPr>
      <t>*</t>
    </r>
    <r>
      <rPr>
        <b/>
        <sz val="10.5"/>
        <color rgb="FFFFFFFF"/>
        <rFont val="Times New Roman"/>
        <family val="1"/>
      </rPr>
      <t>)</t>
    </r>
    <r>
      <rPr>
        <b/>
        <vertAlign val="superscript"/>
        <sz val="10.5"/>
        <color rgb="FFFFFFFF"/>
        <rFont val="Times New Roman"/>
        <family val="1"/>
      </rPr>
      <t>t</t>
    </r>
  </si>
  <si>
    <t>净现值率</t>
  </si>
  <si>
    <t>动态投资回收期</t>
  </si>
  <si>
    <r>
      <t>年份</t>
    </r>
    <r>
      <rPr>
        <b/>
        <sz val="10.5"/>
        <color rgb="FFFFFFFF"/>
        <rFont val="Times New Roman"/>
        <family val="1"/>
      </rPr>
      <t>t</t>
    </r>
  </si>
  <si>
    <r>
      <t>(1+i</t>
    </r>
    <r>
      <rPr>
        <b/>
        <vertAlign val="subscript"/>
        <sz val="10.5"/>
        <color rgb="FFFFFFFF"/>
        <rFont val="Times New Roman"/>
        <family val="1"/>
      </rPr>
      <t>n</t>
    </r>
    <r>
      <rPr>
        <b/>
        <vertAlign val="superscript"/>
        <sz val="10.5"/>
        <color rgb="FFFFFFFF"/>
        <rFont val="Times New Roman"/>
        <family val="1"/>
      </rPr>
      <t>*</t>
    </r>
    <r>
      <rPr>
        <b/>
        <sz val="10.5"/>
        <color rgb="FFFFFFFF"/>
        <rFont val="Times New Roman"/>
        <family val="1"/>
      </rPr>
      <t>)</t>
    </r>
    <r>
      <rPr>
        <b/>
        <vertAlign val="superscript"/>
        <sz val="10.5"/>
        <color rgb="FFFFFFFF"/>
        <rFont val="Times New Roman"/>
        <family val="1"/>
      </rPr>
      <t>t</t>
    </r>
  </si>
  <si>
    <r>
      <t>(CI-CO)</t>
    </r>
    <r>
      <rPr>
        <b/>
        <vertAlign val="subscript"/>
        <sz val="10.5"/>
        <color rgb="FFFFFFFF"/>
        <rFont val="Times New Roman"/>
        <family val="1"/>
      </rPr>
      <t>t</t>
    </r>
    <r>
      <rPr>
        <b/>
        <sz val="10.5"/>
        <color rgb="FFFFFFFF"/>
        <rFont val="Times New Roman"/>
        <family val="1"/>
      </rPr>
      <t>/(1+i</t>
    </r>
    <r>
      <rPr>
        <b/>
        <vertAlign val="subscript"/>
        <sz val="10.5"/>
        <color rgb="FFFFFFFF"/>
        <rFont val="Times New Roman"/>
        <family val="1"/>
      </rPr>
      <t>n</t>
    </r>
    <r>
      <rPr>
        <b/>
        <vertAlign val="superscript"/>
        <sz val="10.5"/>
        <color rgb="FFFFFFFF"/>
        <rFont val="Times New Roman"/>
        <family val="1"/>
      </rPr>
      <t>*</t>
    </r>
    <r>
      <rPr>
        <b/>
        <sz val="10.5"/>
        <color rgb="FFFFFFFF"/>
        <rFont val="Times New Roman"/>
        <family val="1"/>
      </rPr>
      <t>)</t>
    </r>
    <r>
      <rPr>
        <b/>
        <vertAlign val="superscript"/>
        <sz val="10.5"/>
        <color rgb="FFFFFFFF"/>
        <rFont val="Times New Roman"/>
        <family val="1"/>
      </rPr>
      <t>t</t>
    </r>
  </si>
  <si>
    <r>
      <t>∑(CI-CO)</t>
    </r>
    <r>
      <rPr>
        <b/>
        <vertAlign val="subscript"/>
        <sz val="10.5"/>
        <color rgb="FFFFFFFF"/>
        <rFont val="Times New Roman"/>
        <family val="1"/>
      </rPr>
      <t>t</t>
    </r>
    <r>
      <rPr>
        <b/>
        <sz val="10.5"/>
        <color rgb="FFFFFFFF"/>
        <rFont val="Times New Roman"/>
        <family val="1"/>
      </rPr>
      <t>/(1+i</t>
    </r>
    <r>
      <rPr>
        <b/>
        <vertAlign val="subscript"/>
        <sz val="10.5"/>
        <color rgb="FFFFFFFF"/>
        <rFont val="Times New Roman"/>
        <family val="1"/>
      </rPr>
      <t>n</t>
    </r>
    <r>
      <rPr>
        <b/>
        <vertAlign val="superscript"/>
        <sz val="10.5"/>
        <color rgb="FFFFFFFF"/>
        <rFont val="Times New Roman"/>
        <family val="1"/>
      </rPr>
      <t>*</t>
    </r>
    <r>
      <rPr>
        <b/>
        <sz val="10.5"/>
        <color rgb="FFFFFFFF"/>
        <rFont val="Times New Roman"/>
        <family val="1"/>
      </rPr>
      <t>)</t>
    </r>
    <r>
      <rPr>
        <b/>
        <vertAlign val="superscript"/>
        <sz val="10.5"/>
        <color rgb="FFFFFFFF"/>
        <rFont val="Times New Roman"/>
        <family val="1"/>
      </rPr>
      <t>t</t>
    </r>
  </si>
  <si>
    <t>FIRR</t>
    <phoneticPr fontId="3" type="noConversion"/>
  </si>
  <si>
    <t>Q</t>
  </si>
  <si>
    <t>P</t>
  </si>
  <si>
    <t>F</t>
  </si>
  <si>
    <t>V</t>
  </si>
  <si>
    <t>m</t>
  </si>
  <si>
    <t>%</t>
  </si>
  <si>
    <t>BEPL</t>
  </si>
  <si>
    <r>
      <rPr>
        <b/>
        <sz val="11"/>
        <color rgb="FFFFFFFF"/>
        <rFont val="宋体"/>
        <family val="3"/>
        <charset val="134"/>
      </rPr>
      <t>项目</t>
    </r>
  </si>
  <si>
    <r>
      <rPr>
        <b/>
        <sz val="11"/>
        <color rgb="FFFFFFFF"/>
        <rFont val="宋体"/>
        <family val="3"/>
        <charset val="134"/>
      </rPr>
      <t>符号</t>
    </r>
  </si>
  <si>
    <r>
      <rPr>
        <b/>
        <sz val="11"/>
        <color rgb="FFFFFFFF"/>
        <rFont val="宋体"/>
        <family val="3"/>
        <charset val="134"/>
      </rPr>
      <t>数量</t>
    </r>
  </si>
  <si>
    <r>
      <rPr>
        <b/>
        <sz val="11"/>
        <color rgb="FFFFFFFF"/>
        <rFont val="宋体"/>
        <family val="3"/>
        <charset val="134"/>
      </rPr>
      <t>单位</t>
    </r>
  </si>
  <si>
    <r>
      <rPr>
        <sz val="11"/>
        <color rgb="FF000000"/>
        <rFont val="宋体"/>
        <family val="3"/>
        <charset val="134"/>
      </rPr>
      <t>吨</t>
    </r>
  </si>
  <si>
    <r>
      <rPr>
        <sz val="10.5"/>
        <color rgb="FF000000"/>
        <rFont val="宋体"/>
        <family val="3"/>
        <charset val="134"/>
      </rPr>
      <t>元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吨</t>
    </r>
  </si>
  <si>
    <r>
      <rPr>
        <sz val="10.5"/>
        <color rgb="FF000000"/>
        <rFont val="宋体"/>
        <family val="3"/>
        <charset val="134"/>
      </rPr>
      <t>年总固定成本</t>
    </r>
  </si>
  <si>
    <r>
      <rPr>
        <sz val="10.5"/>
        <color rgb="FF000000"/>
        <rFont val="宋体"/>
        <family val="3"/>
        <charset val="134"/>
      </rPr>
      <t>万元</t>
    </r>
  </si>
  <si>
    <r>
      <rPr>
        <sz val="11"/>
        <color rgb="FF000000"/>
        <rFont val="宋体"/>
        <family val="3"/>
        <charset val="134"/>
      </rPr>
      <t>万吨</t>
    </r>
  </si>
  <si>
    <r>
      <rPr>
        <sz val="10.5"/>
        <color rgb="FF000000"/>
        <rFont val="宋体"/>
        <family val="3"/>
        <charset val="134"/>
      </rPr>
      <t>产销所允许降低的最大幅度</t>
    </r>
  </si>
  <si>
    <r>
      <rPr>
        <sz val="10.5"/>
        <color rgb="FF000000"/>
        <rFont val="宋体"/>
        <family val="3"/>
        <charset val="134"/>
      </rPr>
      <t>销售单价盈亏平衡点</t>
    </r>
  </si>
  <si>
    <r>
      <rPr>
        <sz val="10.5"/>
        <color rgb="FF000000"/>
        <rFont val="宋体"/>
        <family val="3"/>
        <charset val="134"/>
      </rPr>
      <t>最大允许降低幅度</t>
    </r>
  </si>
  <si>
    <t>己二腈（及副产物）年产量</t>
    <phoneticPr fontId="3" type="noConversion"/>
  </si>
  <si>
    <t>年产销量（吨)</t>
  </si>
  <si>
    <t>销售收入（万元）</t>
  </si>
  <si>
    <t>总成本（万元)</t>
  </si>
  <si>
    <t>敏感性分析</t>
    <phoneticPr fontId="3" type="noConversion"/>
  </si>
  <si>
    <t>变动因素</t>
  </si>
  <si>
    <t>经营成本（万元）</t>
  </si>
  <si>
    <t>财务净现值（万元）</t>
  </si>
  <si>
    <t>变动幅度</t>
  </si>
  <si>
    <r>
      <t>(CI-CO)</t>
    </r>
    <r>
      <rPr>
        <b/>
        <vertAlign val="subscript"/>
        <sz val="10.5"/>
        <color rgb="FFFFFFFF"/>
        <rFont val="Times New Roman"/>
        <family val="1"/>
      </rPr>
      <t>t</t>
    </r>
    <phoneticPr fontId="3" type="noConversion"/>
  </si>
  <si>
    <r>
      <rPr>
        <sz val="10.5"/>
        <color rgb="FF000000"/>
        <rFont val="微软雅黑"/>
        <family val="1"/>
        <charset val="134"/>
      </rPr>
      <t>己二腈</t>
    </r>
    <r>
      <rPr>
        <sz val="10.5"/>
        <color rgb="FF000000"/>
        <rFont val="宋体"/>
        <family val="3"/>
        <charset val="134"/>
      </rPr>
      <t>产量（吨）</t>
    </r>
    <phoneticPr fontId="3" type="noConversion"/>
  </si>
  <si>
    <r>
      <rPr>
        <sz val="10.5"/>
        <color rgb="FF000000"/>
        <rFont val="宋体"/>
        <family val="1"/>
        <charset val="134"/>
      </rPr>
      <t>己二腈</t>
    </r>
    <r>
      <rPr>
        <sz val="10.5"/>
        <color rgb="FF000000"/>
        <rFont val="宋体"/>
        <family val="3"/>
        <charset val="134"/>
      </rPr>
      <t>价格（元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family val="3"/>
        <charset val="134"/>
      </rPr>
      <t>吨）</t>
    </r>
    <phoneticPr fontId="3" type="noConversion"/>
  </si>
  <si>
    <t>磷酸</t>
    <phoneticPr fontId="3" type="noConversion"/>
  </si>
  <si>
    <t>硅藻土（载体）</t>
    <phoneticPr fontId="3" type="noConversion"/>
  </si>
  <si>
    <t>硫酸铝</t>
    <phoneticPr fontId="3" type="noConversion"/>
  </si>
  <si>
    <t>重庆长鹏化工</t>
    <phoneticPr fontId="3" type="noConversion"/>
  </si>
  <si>
    <t>武汉卡诺斯科技</t>
    <phoneticPr fontId="3" type="noConversion"/>
  </si>
  <si>
    <t>合计</t>
    <phoneticPr fontId="3" type="noConversion"/>
  </si>
  <si>
    <r>
      <rPr>
        <sz val="11"/>
        <color theme="1"/>
        <rFont val="等线"/>
        <family val="3"/>
        <charset val="134"/>
        <scheme val="minor"/>
      </rPr>
      <t>氮气</t>
    </r>
  </si>
  <si>
    <t>三氟甲烷</t>
    <phoneticPr fontId="3" type="noConversion"/>
  </si>
  <si>
    <t>t/a</t>
    <phoneticPr fontId="3" type="noConversion"/>
  </si>
  <si>
    <t>MJ/t</t>
    <phoneticPr fontId="3" type="noConversion"/>
  </si>
  <si>
    <r>
      <rPr>
        <sz val="11"/>
        <color theme="1"/>
        <rFont val="等线"/>
        <family val="3"/>
        <charset val="134"/>
        <scheme val="minor"/>
      </rPr>
      <t>0.25MPa低压蒸汽</t>
    </r>
  </si>
  <si>
    <r>
      <rPr>
        <sz val="11"/>
        <color theme="1"/>
        <rFont val="等线"/>
        <family val="3"/>
        <charset val="134"/>
        <scheme val="minor"/>
      </rPr>
      <t>20℃冷却水</t>
    </r>
  </si>
  <si>
    <t>AA胺化反应器3</t>
  </si>
  <si>
    <t>设备位号</t>
  </si>
  <si>
    <t>AA混合器</t>
  </si>
  <si>
    <t>AA胺化反应器1</t>
  </si>
  <si>
    <t>R0103</t>
  </si>
  <si>
    <t>AA胺化反应器2</t>
  </si>
  <si>
    <t>R0104</t>
  </si>
  <si>
    <t>R0105</t>
  </si>
  <si>
    <t>酰胺脱水反应器</t>
  </si>
  <si>
    <t>粗氨气、水反应器</t>
  </si>
  <si>
    <t>数量</t>
    <phoneticPr fontId="3" type="noConversion"/>
  </si>
  <si>
    <t>价格（万元）</t>
    <phoneticPr fontId="3" type="noConversion"/>
  </si>
  <si>
    <t>合计</t>
    <phoneticPr fontId="3" type="noConversion"/>
  </si>
  <si>
    <t>类型</t>
  </si>
  <si>
    <t>V0103</t>
  </si>
  <si>
    <t>中间产物气液分离罐1</t>
  </si>
  <si>
    <t>V0104</t>
  </si>
  <si>
    <t>中间产物气液分离罐2</t>
  </si>
  <si>
    <t>V0202</t>
  </si>
  <si>
    <t>氨气闪蒸罐</t>
  </si>
  <si>
    <t>V0107</t>
  </si>
  <si>
    <t>粗产物气液分离罐</t>
  </si>
  <si>
    <t>S30408</t>
    <phoneticPr fontId="3" type="noConversion"/>
  </si>
  <si>
    <t>重量/kg</t>
  </si>
  <si>
    <t>价格(万元）</t>
  </si>
  <si>
    <t>T0101</t>
    <phoneticPr fontId="3" type="noConversion"/>
  </si>
  <si>
    <t>AA、酰胺分离塔</t>
    <phoneticPr fontId="3" type="noConversion"/>
  </si>
  <si>
    <t>T0102</t>
    <phoneticPr fontId="3" type="noConversion"/>
  </si>
  <si>
    <t>AA分离塔</t>
    <phoneticPr fontId="3" type="noConversion"/>
  </si>
  <si>
    <t>粗产物精馏塔</t>
    <phoneticPr fontId="3" type="noConversion"/>
  </si>
  <si>
    <t>热泵精馏塔</t>
    <phoneticPr fontId="3" type="noConversion"/>
  </si>
  <si>
    <t>ICCP精馏塔1</t>
    <phoneticPr fontId="3" type="noConversion"/>
  </si>
  <si>
    <t>T0304</t>
    <phoneticPr fontId="3" type="noConversion"/>
  </si>
  <si>
    <t>ICCP精馏塔2</t>
    <phoneticPr fontId="3" type="noConversion"/>
  </si>
  <si>
    <t>T0305</t>
    <phoneticPr fontId="3" type="noConversion"/>
  </si>
  <si>
    <t>2ADN精馏塔</t>
    <phoneticPr fontId="3" type="noConversion"/>
  </si>
  <si>
    <t>材料</t>
    <phoneticPr fontId="3" type="noConversion"/>
  </si>
  <si>
    <t>重量/t</t>
    <phoneticPr fontId="3" type="noConversion"/>
  </si>
  <si>
    <t>换热器名称</t>
  </si>
  <si>
    <t>氨气、AND换热器</t>
  </si>
  <si>
    <t>中间产物换热器</t>
  </si>
  <si>
    <t>中间产物冷却器</t>
  </si>
  <si>
    <t>E0104</t>
  </si>
  <si>
    <t>中间产物加热器</t>
  </si>
  <si>
    <t>E0110</t>
  </si>
  <si>
    <t>废水冷却器2</t>
  </si>
  <si>
    <t>E0303</t>
    <phoneticPr fontId="3" type="noConversion"/>
  </si>
  <si>
    <t>热泵精馏换热器</t>
    <phoneticPr fontId="3" type="noConversion"/>
  </si>
  <si>
    <t>E0304</t>
    <phoneticPr fontId="3" type="noConversion"/>
  </si>
  <si>
    <t>粗AND冷却器1</t>
    <phoneticPr fontId="3" type="noConversion"/>
  </si>
  <si>
    <t>E0108</t>
    <phoneticPr fontId="3" type="noConversion"/>
  </si>
  <si>
    <t>T0102冷凝器</t>
    <phoneticPr fontId="3" type="noConversion"/>
  </si>
  <si>
    <t>E0109</t>
    <phoneticPr fontId="3" type="noConversion"/>
  </si>
  <si>
    <t>T0102再沸器</t>
    <phoneticPr fontId="3" type="noConversion"/>
  </si>
  <si>
    <t>E0105</t>
    <phoneticPr fontId="3" type="noConversion"/>
  </si>
  <si>
    <t>T0101冷凝器</t>
    <phoneticPr fontId="3" type="noConversion"/>
  </si>
  <si>
    <t>E0106</t>
    <phoneticPr fontId="3" type="noConversion"/>
  </si>
  <si>
    <t>T0101再沸器</t>
    <phoneticPr fontId="3" type="noConversion"/>
  </si>
  <si>
    <t>E0302</t>
    <phoneticPr fontId="3" type="noConversion"/>
  </si>
  <si>
    <t>T0301冷凝器</t>
    <phoneticPr fontId="3" type="noConversion"/>
  </si>
  <si>
    <t>E0301</t>
    <phoneticPr fontId="3" type="noConversion"/>
  </si>
  <si>
    <t>T0301再沸器</t>
    <phoneticPr fontId="3" type="noConversion"/>
  </si>
  <si>
    <t>E0305</t>
    <phoneticPr fontId="3" type="noConversion"/>
  </si>
  <si>
    <t>T0303冷凝器</t>
    <phoneticPr fontId="3" type="noConversion"/>
  </si>
  <si>
    <t>E0306</t>
    <phoneticPr fontId="3" type="noConversion"/>
  </si>
  <si>
    <t>T0303再沸器</t>
    <phoneticPr fontId="3" type="noConversion"/>
  </si>
  <si>
    <t>E0307</t>
    <phoneticPr fontId="3" type="noConversion"/>
  </si>
  <si>
    <t>T0304冷凝器</t>
    <phoneticPr fontId="3" type="noConversion"/>
  </si>
  <si>
    <t>E0308</t>
    <phoneticPr fontId="3" type="noConversion"/>
  </si>
  <si>
    <t>T0304再沸器</t>
    <phoneticPr fontId="3" type="noConversion"/>
  </si>
  <si>
    <t>E0309</t>
    <phoneticPr fontId="3" type="noConversion"/>
  </si>
  <si>
    <t>T0305冷凝器</t>
    <phoneticPr fontId="3" type="noConversion"/>
  </si>
  <si>
    <t>E0310</t>
    <phoneticPr fontId="3" type="noConversion"/>
  </si>
  <si>
    <t>T0305再沸器</t>
    <phoneticPr fontId="3" type="noConversion"/>
  </si>
  <si>
    <t>E0201</t>
    <phoneticPr fontId="3" type="noConversion"/>
  </si>
  <si>
    <t>T0201冷凝器</t>
  </si>
  <si>
    <t>E0202</t>
    <phoneticPr fontId="3" type="noConversion"/>
  </si>
  <si>
    <t>T0201再沸器</t>
  </si>
  <si>
    <t>BEM500-0.33/0.33-90.2-6/19-2I</t>
    <phoneticPr fontId="3" type="noConversion"/>
  </si>
  <si>
    <t>BEU500-0.33/0.33-96.8-6/19-1I</t>
    <phoneticPr fontId="3" type="noConversion"/>
  </si>
  <si>
    <t>BEU700-0.33/0.134-93.8-3/19-4I</t>
    <phoneticPr fontId="3" type="noConversion"/>
  </si>
  <si>
    <t>BEM273-0.0123/0.111-5.4-1.5/19-1I</t>
    <phoneticPr fontId="3" type="noConversion"/>
  </si>
  <si>
    <t>型号</t>
  </si>
  <si>
    <t>型号</t>
    <phoneticPr fontId="3" type="noConversion"/>
  </si>
  <si>
    <t>BEM1600-0.253/0.11-1687.2-9/19-4I</t>
    <phoneticPr fontId="3" type="noConversion"/>
  </si>
  <si>
    <t>BEM1300-0.08/0.275-557.6-4.5/25-1I</t>
    <phoneticPr fontId="3" type="noConversion"/>
  </si>
  <si>
    <t>BEM500-0..33/0.121-31.2-2/19-1I</t>
    <phoneticPr fontId="3" type="noConversion"/>
  </si>
  <si>
    <t>BKU800-0.55/0.33-138.0-3/19-1I</t>
    <phoneticPr fontId="3" type="noConversion"/>
  </si>
  <si>
    <t>BEM900-0.11/0.121-171-3/19-2I</t>
    <phoneticPr fontId="3" type="noConversion"/>
  </si>
  <si>
    <t>BEM900-0.11/0.33-355.3-6/19-1I</t>
    <phoneticPr fontId="3" type="noConversion"/>
  </si>
  <si>
    <t>BEM600-0.056/0.88-109.3-4.5/19-2I</t>
    <phoneticPr fontId="3" type="noConversion"/>
  </si>
  <si>
    <t>BEM1500-0.121/0.134-1556-9/19-2I</t>
    <phoneticPr fontId="3" type="noConversion"/>
  </si>
  <si>
    <t>BEM500-0.011/0.121-67.2-4.5/19-2I</t>
    <phoneticPr fontId="3" type="noConversion"/>
  </si>
  <si>
    <t>BKU400-0.121/0.023-18.6-2/19-2I</t>
    <phoneticPr fontId="3" type="noConversion"/>
  </si>
  <si>
    <t>BEM800-0.55/0.33-138.0-3/19-4I</t>
    <phoneticPr fontId="3" type="noConversion"/>
  </si>
  <si>
    <t>BKU900-0.23/0.88-113.8-2.5/25-1I</t>
    <phoneticPr fontId="3" type="noConversion"/>
  </si>
  <si>
    <t>BEM273-0.0123/0.134-11.3-3/19-1I</t>
    <phoneticPr fontId="3" type="noConversion"/>
  </si>
  <si>
    <t>BEM1900-0.33/0.111-2424-9/19-4I</t>
    <phoneticPr fontId="3" type="noConversion"/>
  </si>
  <si>
    <t>BEM800-0.55/0.134-209.3-4.5/19-1I</t>
    <phoneticPr fontId="3" type="noConversion"/>
  </si>
  <si>
    <t>E0107</t>
  </si>
  <si>
    <t>废水冷却器1</t>
  </si>
  <si>
    <t>传热面积/m2</t>
  </si>
  <si>
    <t>换热管/板数量</t>
  </si>
  <si>
    <t>管程材料</t>
  </si>
  <si>
    <t>壳程材料</t>
  </si>
  <si>
    <t>16Mn</t>
  </si>
  <si>
    <t>16Mn</t>
    <phoneticPr fontId="3" type="noConversion"/>
  </si>
  <si>
    <t>总价（万元）</t>
  </si>
  <si>
    <t>总价（万元）</t>
    <phoneticPr fontId="3" type="noConversion"/>
  </si>
  <si>
    <t>16Mn</t>
    <phoneticPr fontId="3" type="noConversion"/>
  </si>
  <si>
    <t>Q345R</t>
    <phoneticPr fontId="3" type="noConversion"/>
  </si>
  <si>
    <t>C0202</t>
  </si>
  <si>
    <t>循环氨气压缩机</t>
  </si>
  <si>
    <t>离心式</t>
  </si>
  <si>
    <t>DAC800</t>
  </si>
  <si>
    <t>粗氨气压缩机</t>
  </si>
  <si>
    <t>DAC400</t>
  </si>
  <si>
    <t>粗AND压缩机</t>
  </si>
  <si>
    <t>C0101</t>
  </si>
  <si>
    <t>废水压缩机1</t>
  </si>
  <si>
    <t>DAC300</t>
  </si>
  <si>
    <t>C0102</t>
  </si>
  <si>
    <t>废水压缩机2</t>
  </si>
  <si>
    <t>DAC50</t>
  </si>
  <si>
    <t>C0401</t>
  </si>
  <si>
    <t>液氨压缩机</t>
  </si>
  <si>
    <t>材质</t>
  </si>
  <si>
    <t>立式圆筒形内浮顶容器</t>
    <phoneticPr fontId="3" type="noConversion"/>
  </si>
  <si>
    <t>公称容积/m3</t>
  </si>
  <si>
    <t>液氨球型储罐</t>
  </si>
  <si>
    <t>钢制球形储罐</t>
  </si>
  <si>
    <t>ADN储罐</t>
  </si>
  <si>
    <t>立式圆筒形内浮顶容器</t>
  </si>
  <si>
    <t>废水储罐</t>
  </si>
  <si>
    <t>Q235-A</t>
    <phoneticPr fontId="3" type="noConversion"/>
  </si>
  <si>
    <t>保护层</t>
  </si>
  <si>
    <t>总质量/t</t>
  </si>
  <si>
    <t>Q370R</t>
  </si>
  <si>
    <t>不锈钢薄板</t>
  </si>
  <si>
    <t>造价(万元）</t>
  </si>
  <si>
    <t>回流罐、分流罐、缓冲罐</t>
    <phoneticPr fontId="3" type="noConversion"/>
  </si>
  <si>
    <t>回流罐、分流罐、缓冲罐价格表</t>
    <phoneticPr fontId="3" type="noConversion"/>
  </si>
  <si>
    <t>卧式椭圆形封头容器</t>
    <phoneticPr fontId="3" type="noConversion"/>
  </si>
  <si>
    <t>氨气混合罐</t>
  </si>
  <si>
    <t>V0201</t>
  </si>
  <si>
    <t>粗氨气缓冲罐</t>
  </si>
  <si>
    <t>V0105</t>
  </si>
  <si>
    <t>粗氨气混合罐</t>
  </si>
  <si>
    <t>V0102</t>
  </si>
  <si>
    <t>汽包</t>
  </si>
  <si>
    <t>V0108</t>
  </si>
  <si>
    <t>废水缓冲罐1</t>
  </si>
  <si>
    <t>卧式椭圆形封头容器</t>
  </si>
  <si>
    <t>V0110</t>
  </si>
  <si>
    <t>废水缓冲罐2</t>
  </si>
  <si>
    <t>V0203</t>
  </si>
  <si>
    <t>氨气缓冲罐</t>
  </si>
  <si>
    <t>V0306</t>
  </si>
  <si>
    <t>精制ICCP混合罐</t>
  </si>
  <si>
    <t>总质量/kg</t>
    <phoneticPr fontId="3" type="noConversion"/>
  </si>
  <si>
    <t>V0302</t>
    <phoneticPr fontId="3" type="noConversion"/>
  </si>
  <si>
    <t>AND分离罐1</t>
    <phoneticPr fontId="3" type="noConversion"/>
  </si>
  <si>
    <t>V0303</t>
    <phoneticPr fontId="3" type="noConversion"/>
  </si>
  <si>
    <t>AND分离罐2</t>
    <phoneticPr fontId="3" type="noConversion"/>
  </si>
  <si>
    <t>V0109</t>
    <phoneticPr fontId="3" type="noConversion"/>
  </si>
  <si>
    <t>T0102回流罐</t>
    <phoneticPr fontId="3" type="noConversion"/>
  </si>
  <si>
    <t>V0106</t>
    <phoneticPr fontId="3" type="noConversion"/>
  </si>
  <si>
    <t>T0101回流罐</t>
    <phoneticPr fontId="3" type="noConversion"/>
  </si>
  <si>
    <t>V0301</t>
    <phoneticPr fontId="3" type="noConversion"/>
  </si>
  <si>
    <t>T0301回流罐</t>
    <phoneticPr fontId="3" type="noConversion"/>
  </si>
  <si>
    <t>V0202</t>
    <phoneticPr fontId="3" type="noConversion"/>
  </si>
  <si>
    <t>T0201回流罐</t>
  </si>
  <si>
    <t>V0307</t>
    <phoneticPr fontId="3" type="noConversion"/>
  </si>
  <si>
    <t>T0305回流罐</t>
    <phoneticPr fontId="3" type="noConversion"/>
  </si>
  <si>
    <t>V0304</t>
    <phoneticPr fontId="3" type="noConversion"/>
  </si>
  <si>
    <t>T0303回流罐</t>
    <phoneticPr fontId="3" type="noConversion"/>
  </si>
  <si>
    <t>V0305</t>
    <phoneticPr fontId="3" type="noConversion"/>
  </si>
  <si>
    <t>T0304回流罐</t>
    <phoneticPr fontId="3" type="noConversion"/>
  </si>
  <si>
    <t>80D-12</t>
  </si>
  <si>
    <t>离心泵</t>
  </si>
  <si>
    <t>IL200-150-250</t>
  </si>
  <si>
    <t>IL150-125-250</t>
  </si>
  <si>
    <t>P0104A/B</t>
  </si>
  <si>
    <t>300S19A</t>
  </si>
  <si>
    <t>P0105A/B</t>
  </si>
  <si>
    <t>XA150/40B</t>
  </si>
  <si>
    <t>P0106A/B</t>
  </si>
  <si>
    <t>IX50-32-125A</t>
  </si>
  <si>
    <t>P0107A/B</t>
  </si>
  <si>
    <t>酰胺输送泵</t>
  </si>
  <si>
    <t>XA40/13H</t>
  </si>
  <si>
    <t>P0108A/B</t>
  </si>
  <si>
    <t>IX180-65-100</t>
  </si>
  <si>
    <t>P0109A/B</t>
  </si>
  <si>
    <t>IX165-50-125</t>
  </si>
  <si>
    <t>P0110A/B</t>
  </si>
  <si>
    <t>ISL40-32-100</t>
  </si>
  <si>
    <t>废水输送泵</t>
  </si>
  <si>
    <t>IL40-40-125</t>
  </si>
  <si>
    <t>粗产物输送泵</t>
  </si>
  <si>
    <t>100D-16</t>
  </si>
  <si>
    <t>IX165-50-100</t>
  </si>
  <si>
    <t>IX165-50-110</t>
  </si>
  <si>
    <t>AA输送泵</t>
  </si>
  <si>
    <t>汽包蒸汽输送泵1</t>
  </si>
  <si>
    <t>汽包蒸汽输送泵2</t>
  </si>
  <si>
    <t>汽包蒸汽输送泵3</t>
  </si>
  <si>
    <t>汽包蒸汽输送泵4</t>
  </si>
  <si>
    <t>T0101回流泵</t>
  </si>
  <si>
    <t>粗ADN输送泵</t>
  </si>
  <si>
    <t>T0102回流泵</t>
  </si>
  <si>
    <t>循环AA输送泵</t>
  </si>
  <si>
    <t>T0201回流泵</t>
  </si>
  <si>
    <t>精制ADN输送泵</t>
  </si>
  <si>
    <t>循环ADN输送泵</t>
  </si>
  <si>
    <t>设备位号</t>
    <phoneticPr fontId="3" type="noConversion"/>
  </si>
  <si>
    <t>名称</t>
    <phoneticPr fontId="3" type="noConversion"/>
  </si>
  <si>
    <t>类型</t>
    <phoneticPr fontId="3" type="noConversion"/>
  </si>
  <si>
    <t>QBY3-20</t>
  </si>
  <si>
    <t>气动隔膜泵</t>
  </si>
  <si>
    <t>P0310A/B</t>
  </si>
  <si>
    <t>DBY-15</t>
  </si>
  <si>
    <t>电动隔膜泵</t>
  </si>
  <si>
    <t>P0311A/B</t>
  </si>
  <si>
    <t>DBY-10</t>
  </si>
  <si>
    <t>P0312A/B</t>
  </si>
  <si>
    <t>T0301回流泵</t>
  </si>
  <si>
    <t>T0304回流泵</t>
  </si>
  <si>
    <t>粗2ADN输送泵</t>
  </si>
  <si>
    <t>T0305回流泵</t>
  </si>
  <si>
    <t>精致2ADN输送泵</t>
  </si>
  <si>
    <t>32W-30</t>
  </si>
  <si>
    <t>25W-25</t>
  </si>
  <si>
    <t>P0309A/B</t>
  </si>
  <si>
    <t>副产物输送泵1</t>
  </si>
  <si>
    <t>W型漩涡泵</t>
  </si>
  <si>
    <t>T0303回流泵</t>
  </si>
  <si>
    <t>W型旋涡泵</t>
  </si>
  <si>
    <t>副产物输送泵2</t>
  </si>
  <si>
    <t>ICCP输送泵</t>
  </si>
  <si>
    <t>造价（万元）</t>
    <phoneticPr fontId="3" type="noConversion"/>
  </si>
  <si>
    <t>材质</t>
    <phoneticPr fontId="3" type="noConversion"/>
  </si>
  <si>
    <t>kgce/t</t>
    <phoneticPr fontId="3" type="noConversion"/>
  </si>
  <si>
    <t>硫酸铝</t>
  </si>
  <si>
    <t>硅藻土（载体）</t>
  </si>
  <si>
    <t>三氟甲烷</t>
    <phoneticPr fontId="3" type="noConversion"/>
  </si>
  <si>
    <t>周转天数</t>
  </si>
  <si>
    <t>年周转次数</t>
  </si>
  <si>
    <t>生产负荷</t>
  </si>
  <si>
    <t>原材料</t>
  </si>
  <si>
    <t>燃料</t>
  </si>
  <si>
    <t>流动资金本年增加额</t>
  </si>
  <si>
    <t>流动资金借款利率</t>
  </si>
  <si>
    <t>流贷借款</t>
  </si>
  <si>
    <t>流贷借款利息</t>
  </si>
  <si>
    <t>废固</t>
    <phoneticPr fontId="3" type="noConversion"/>
  </si>
  <si>
    <t>项目产销盈亏平衡点</t>
    <phoneticPr fontId="3" type="noConversion"/>
  </si>
  <si>
    <t>BEPQ</t>
    <phoneticPr fontId="3" type="noConversion"/>
  </si>
  <si>
    <t>单位产品销售收入</t>
    <phoneticPr fontId="3" type="noConversion"/>
  </si>
  <si>
    <t>单位产品可变成本</t>
    <phoneticPr fontId="3" type="noConversion"/>
  </si>
  <si>
    <t>单位产品销售税金</t>
    <phoneticPr fontId="3" type="noConversion"/>
  </si>
  <si>
    <t>V0402</t>
    <phoneticPr fontId="3" type="noConversion"/>
  </si>
  <si>
    <t>BEM600-0.33/0.088-55.8-6/25-1I</t>
  </si>
  <si>
    <t>BEM219-0.11/0.11-17.7-9/25-1I</t>
  </si>
  <si>
    <t>V0403A/B</t>
    <phoneticPr fontId="3" type="noConversion"/>
  </si>
  <si>
    <t>V0404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</si>
</sst>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00_);[Red]\(0.0000\)"/>
    <numFmt numFmtId="178" formatCode="0_ "/>
    <numFmt numFmtId="179" formatCode="0.000_ "/>
    <numFmt numFmtId="180" formatCode="0.0000_ "/>
    <numFmt numFmtId="181" formatCode="0.0_ "/>
  </numFmts>
  <fonts count="3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.5"/>
      <color rgb="FFFFFFFF"/>
      <name val="宋体"/>
      <family val="3"/>
      <charset val="134"/>
    </font>
    <font>
      <b/>
      <sz val="10.5"/>
      <color rgb="FFFFFFFF"/>
      <name val="Times New Roman"/>
      <family val="1"/>
    </font>
    <font>
      <sz val="11"/>
      <color theme="1"/>
      <name val="等线"/>
      <family val="1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45"/>
      <color rgb="FF000000"/>
      <name val="宋体"/>
      <family val="3"/>
      <charset val="134"/>
    </font>
    <font>
      <sz val="10.45"/>
      <color rgb="FF000000"/>
      <name val="Times New Roman"/>
      <family val="1"/>
    </font>
    <font>
      <b/>
      <sz val="10.45"/>
      <color rgb="FF000000"/>
      <name val="Times New Roman"/>
      <family val="1"/>
    </font>
    <font>
      <sz val="10.45"/>
      <color rgb="FF000000"/>
      <name val="宋体"/>
      <family val="1"/>
      <charset val="134"/>
    </font>
    <font>
      <sz val="10.5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0.5"/>
      <color rgb="FF000000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等线"/>
      <family val="2"/>
      <charset val="134"/>
    </font>
    <font>
      <b/>
      <vertAlign val="subscript"/>
      <sz val="10.5"/>
      <color rgb="FFFFFFFF"/>
      <name val="Times New Roman"/>
      <family val="1"/>
    </font>
    <font>
      <b/>
      <vertAlign val="superscript"/>
      <sz val="10.5"/>
      <color rgb="FFFFFFFF"/>
      <name val="Times New Roman"/>
      <family val="1"/>
    </font>
    <font>
      <b/>
      <sz val="10.5"/>
      <color rgb="FFFFFFFF"/>
      <name val="仿宋"/>
      <family val="3"/>
      <charset val="134"/>
    </font>
    <font>
      <b/>
      <sz val="11"/>
      <color rgb="FFFFFFFF"/>
      <name val="Times New Roman"/>
      <family val="1"/>
    </font>
    <font>
      <b/>
      <sz val="11"/>
      <color rgb="FFFFFFFF"/>
      <name val="宋体"/>
      <family val="3"/>
      <charset val="134"/>
    </font>
    <font>
      <b/>
      <sz val="10.5"/>
      <color rgb="FF2E75B5"/>
      <name val="Times New Roman"/>
      <family val="1"/>
    </font>
    <font>
      <sz val="10.5"/>
      <color rgb="FF000000"/>
      <name val="微软雅黑"/>
      <family val="1"/>
      <charset val="134"/>
    </font>
    <font>
      <sz val="10.5"/>
      <color rgb="FF000000"/>
      <name val="Times New Roman"/>
      <family val="1"/>
      <charset val="134"/>
    </font>
    <font>
      <sz val="10.5"/>
      <color rgb="FF000000"/>
      <name val="宋体"/>
      <family val="1"/>
      <charset val="134"/>
    </font>
    <font>
      <sz val="11"/>
      <color indexed="8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1"/>
      <color indexed="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4472C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indexed="64"/>
      </patternFill>
    </fill>
  </fills>
  <borders count="31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/>
      <top/>
      <bottom/>
      <diagonal/>
    </border>
    <border>
      <left style="thin">
        <color theme="4" tint="0.59999389629810485"/>
      </left>
      <right/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9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2" applyFont="1" applyBorder="1" applyAlignment="1">
      <alignment horizontal="center" vertical="center"/>
    </xf>
    <xf numFmtId="0" fontId="2" fillId="2" borderId="2" xfId="1" applyBorder="1">
      <alignment vertical="center"/>
    </xf>
    <xf numFmtId="0" fontId="0" fillId="0" borderId="2" xfId="0" applyBorder="1">
      <alignment vertical="center"/>
    </xf>
    <xf numFmtId="0" fontId="1" fillId="3" borderId="2" xfId="2" applyBorder="1">
      <alignment vertical="center"/>
    </xf>
    <xf numFmtId="0" fontId="2" fillId="2" borderId="2" xfId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0" fontId="0" fillId="3" borderId="2" xfId="2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1" fillId="3" borderId="2" xfId="2" applyNumberFormat="1" applyBorder="1">
      <alignment vertical="center"/>
    </xf>
    <xf numFmtId="176" fontId="0" fillId="0" borderId="2" xfId="0" applyNumberFormat="1" applyBorder="1" applyAlignment="1">
      <alignment horizontal="center" vertical="center"/>
    </xf>
    <xf numFmtId="176" fontId="1" fillId="3" borderId="2" xfId="2" applyNumberFormat="1" applyBorder="1" applyAlignment="1">
      <alignment horizontal="center" vertical="center"/>
    </xf>
    <xf numFmtId="0" fontId="0" fillId="3" borderId="2" xfId="2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5" borderId="6" xfId="0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176" fontId="18" fillId="6" borderId="2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76" fontId="18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1" fillId="3" borderId="2" xfId="2" applyNumberFormat="1" applyBorder="1" applyAlignment="1">
      <alignment horizontal="center" vertical="center"/>
    </xf>
    <xf numFmtId="0" fontId="11" fillId="0" borderId="0" xfId="0" applyFont="1">
      <alignment vertical="center"/>
    </xf>
    <xf numFmtId="0" fontId="2" fillId="2" borderId="2" xfId="1" applyBorder="1" applyAlignment="1">
      <alignment vertical="center"/>
    </xf>
    <xf numFmtId="176" fontId="20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0" fontId="10" fillId="0" borderId="0" xfId="0" applyFont="1">
      <alignment vertical="center"/>
    </xf>
    <xf numFmtId="0" fontId="2" fillId="2" borderId="6" xfId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4" fillId="4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0" fillId="7" borderId="0" xfId="0" applyFont="1" applyFill="1">
      <alignment vertical="center"/>
    </xf>
    <xf numFmtId="0" fontId="11" fillId="7" borderId="0" xfId="0" applyFont="1" applyFill="1">
      <alignment vertical="center"/>
    </xf>
    <xf numFmtId="0" fontId="4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wrapText="1"/>
    </xf>
    <xf numFmtId="176" fontId="16" fillId="8" borderId="10" xfId="0" applyNumberFormat="1" applyFont="1" applyFill="1" applyBorder="1" applyAlignment="1">
      <alignment horizontal="center" wrapText="1"/>
    </xf>
    <xf numFmtId="176" fontId="16" fillId="8" borderId="10" xfId="0" applyNumberFormat="1" applyFont="1" applyFill="1" applyBorder="1" applyAlignment="1">
      <alignment horizontal="center" vertical="top" wrapText="1"/>
    </xf>
    <xf numFmtId="0" fontId="1" fillId="3" borderId="9" xfId="2" applyBorder="1" applyAlignment="1">
      <alignment horizontal="center" wrapText="1"/>
    </xf>
    <xf numFmtId="176" fontId="1" fillId="3" borderId="10" xfId="2" applyNumberFormat="1" applyBorder="1" applyAlignment="1">
      <alignment horizontal="center" wrapText="1"/>
    </xf>
    <xf numFmtId="176" fontId="1" fillId="3" borderId="10" xfId="2" applyNumberFormat="1" applyBorder="1" applyAlignment="1">
      <alignment horizontal="center" vertical="top" wrapText="1"/>
    </xf>
    <xf numFmtId="0" fontId="26" fillId="9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6" fontId="16" fillId="0" borderId="13" xfId="0" applyNumberFormat="1" applyFont="1" applyFill="1" applyBorder="1" applyAlignment="1">
      <alignment horizontal="center" vertical="center" wrapText="1"/>
    </xf>
    <xf numFmtId="176" fontId="16" fillId="0" borderId="13" xfId="0" applyNumberFormat="1" applyFont="1" applyFill="1" applyBorder="1" applyAlignment="1">
      <alignment horizontal="center" wrapText="1"/>
    </xf>
    <xf numFmtId="0" fontId="16" fillId="10" borderId="13" xfId="0" applyFont="1" applyFill="1" applyBorder="1" applyAlignment="1">
      <alignment horizontal="center" vertical="center" wrapText="1"/>
    </xf>
    <xf numFmtId="176" fontId="16" fillId="10" borderId="13" xfId="0" applyNumberFormat="1" applyFont="1" applyFill="1" applyBorder="1" applyAlignment="1">
      <alignment horizontal="center" vertical="center" wrapText="1"/>
    </xf>
    <xf numFmtId="176" fontId="16" fillId="10" borderId="13" xfId="0" applyNumberFormat="1" applyFont="1" applyFill="1" applyBorder="1" applyAlignment="1">
      <alignment horizontal="center" wrapText="1"/>
    </xf>
    <xf numFmtId="0" fontId="16" fillId="11" borderId="13" xfId="0" applyFont="1" applyFill="1" applyBorder="1" applyAlignment="1">
      <alignment horizontal="center" vertical="center" wrapText="1"/>
    </xf>
    <xf numFmtId="176" fontId="16" fillId="11" borderId="13" xfId="0" applyNumberFormat="1" applyFont="1" applyFill="1" applyBorder="1" applyAlignment="1">
      <alignment horizontal="center" vertical="center" wrapText="1"/>
    </xf>
    <xf numFmtId="176" fontId="16" fillId="11" borderId="13" xfId="0" applyNumberFormat="1" applyFont="1" applyFill="1" applyBorder="1" applyAlignment="1">
      <alignment horizontal="center" wrapText="1"/>
    </xf>
    <xf numFmtId="176" fontId="27" fillId="9" borderId="11" xfId="0" applyNumberFormat="1" applyFont="1" applyFill="1" applyBorder="1" applyAlignment="1">
      <alignment horizontal="center" vertical="center"/>
    </xf>
    <xf numFmtId="176" fontId="16" fillId="0" borderId="11" xfId="0" applyNumberFormat="1" applyFont="1" applyFill="1" applyBorder="1" applyAlignment="1">
      <alignment horizontal="center" vertical="center"/>
    </xf>
    <xf numFmtId="176" fontId="18" fillId="0" borderId="11" xfId="0" applyNumberFormat="1" applyFont="1" applyFill="1" applyBorder="1" applyAlignment="1">
      <alignment horizontal="center" vertical="center"/>
    </xf>
    <xf numFmtId="176" fontId="16" fillId="10" borderId="11" xfId="0" applyNumberFormat="1" applyFont="1" applyFill="1" applyBorder="1" applyAlignment="1">
      <alignment horizontal="center" vertical="center"/>
    </xf>
    <xf numFmtId="176" fontId="18" fillId="10" borderId="11" xfId="0" applyNumberFormat="1" applyFont="1" applyFill="1" applyBorder="1" applyAlignment="1">
      <alignment horizontal="center" vertical="center"/>
    </xf>
    <xf numFmtId="176" fontId="19" fillId="0" borderId="11" xfId="0" applyNumberFormat="1" applyFont="1" applyFill="1" applyBorder="1" applyAlignment="1">
      <alignment horizontal="center" vertical="center"/>
    </xf>
    <xf numFmtId="176" fontId="19" fillId="10" borderId="11" xfId="0" applyNumberFormat="1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28" fillId="9" borderId="11" xfId="0" applyNumberFormat="1" applyFont="1" applyFill="1" applyBorder="1" applyAlignment="1">
      <alignment horizontal="center" vertical="center"/>
    </xf>
    <xf numFmtId="178" fontId="18" fillId="0" borderId="11" xfId="0" applyNumberFormat="1" applyFont="1" applyFill="1" applyBorder="1" applyAlignment="1">
      <alignment horizontal="center" vertical="center"/>
    </xf>
    <xf numFmtId="178" fontId="18" fillId="10" borderId="11" xfId="0" applyNumberFormat="1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9" fontId="16" fillId="10" borderId="8" xfId="0" applyNumberFormat="1" applyFont="1" applyFill="1" applyBorder="1" applyAlignment="1">
      <alignment horizontal="center" vertical="center" wrapText="1"/>
    </xf>
    <xf numFmtId="0" fontId="19" fillId="0" borderId="9" xfId="0" applyFont="1" applyFill="1" applyBorder="1" applyAlignment="1">
      <alignment horizontal="center" vertical="center" wrapText="1"/>
    </xf>
    <xf numFmtId="176" fontId="16" fillId="0" borderId="10" xfId="0" applyNumberFormat="1" applyFont="1" applyFill="1" applyBorder="1" applyAlignment="1">
      <alignment horizontal="center" vertical="center" wrapText="1"/>
    </xf>
    <xf numFmtId="0" fontId="19" fillId="10" borderId="9" xfId="0" applyFont="1" applyFill="1" applyBorder="1" applyAlignment="1">
      <alignment horizontal="center" vertical="center" wrapText="1"/>
    </xf>
    <xf numFmtId="176" fontId="16" fillId="10" borderId="10" xfId="0" applyNumberFormat="1" applyFont="1" applyFill="1" applyBorder="1" applyAlignment="1">
      <alignment horizontal="center" vertical="center" wrapText="1"/>
    </xf>
    <xf numFmtId="0" fontId="2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0" borderId="0" xfId="0">
      <alignment vertical="center"/>
    </xf>
    <xf numFmtId="0" fontId="2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3" borderId="0" xfId="2" applyAlignment="1">
      <alignment horizontal="center" vertical="center"/>
    </xf>
    <xf numFmtId="0" fontId="4" fillId="9" borderId="14" xfId="0" applyFont="1" applyFill="1" applyBorder="1" applyAlignment="1">
      <alignment horizontal="center" vertical="top" wrapText="1"/>
    </xf>
    <xf numFmtId="0" fontId="5" fillId="9" borderId="14" xfId="0" applyFont="1" applyFill="1" applyBorder="1" applyAlignment="1">
      <alignment horizontal="center" vertical="top" wrapText="1"/>
    </xf>
    <xf numFmtId="9" fontId="16" fillId="10" borderId="8" xfId="0" applyNumberFormat="1" applyFont="1" applyFill="1" applyBorder="1" applyAlignment="1">
      <alignment horizontal="center" wrapText="1"/>
    </xf>
    <xf numFmtId="0" fontId="31" fillId="0" borderId="9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1" fillId="3" borderId="2" xfId="2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" fillId="3" borderId="1" xfId="2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2" fillId="2" borderId="11" xfId="1" applyBorder="1">
      <alignment vertical="center"/>
    </xf>
    <xf numFmtId="0" fontId="2" fillId="2" borderId="11" xfId="1" applyBorder="1" applyAlignment="1">
      <alignment horizontal="center" vertical="center"/>
    </xf>
    <xf numFmtId="0" fontId="0" fillId="0" borderId="11" xfId="0" applyBorder="1">
      <alignment vertical="center"/>
    </xf>
    <xf numFmtId="0" fontId="5" fillId="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" fillId="3" borderId="11" xfId="2" applyBorder="1" applyAlignment="1">
      <alignment horizontal="center" vertical="center"/>
    </xf>
    <xf numFmtId="177" fontId="1" fillId="3" borderId="11" xfId="2" applyNumberFormat="1" applyBorder="1" applyAlignment="1">
      <alignment horizontal="center" vertical="center"/>
    </xf>
    <xf numFmtId="0" fontId="1" fillId="3" borderId="11" xfId="2" applyBorder="1" applyAlignment="1">
      <alignment horizontal="center" vertical="center" wrapText="1"/>
    </xf>
    <xf numFmtId="0" fontId="0" fillId="3" borderId="11" xfId="2" applyFont="1" applyBorder="1" applyAlignment="1">
      <alignment horizontal="center" vertical="center" wrapText="1"/>
    </xf>
    <xf numFmtId="0" fontId="1" fillId="3" borderId="2" xfId="2" applyBorder="1" applyAlignment="1">
      <alignment vertical="center"/>
    </xf>
    <xf numFmtId="0" fontId="33" fillId="0" borderId="11" xfId="0" applyNumberFormat="1" applyFont="1" applyFill="1" applyBorder="1" applyAlignment="1" applyProtection="1">
      <alignment horizontal="center" vertical="center"/>
    </xf>
    <xf numFmtId="0" fontId="33" fillId="12" borderId="11" xfId="0" applyNumberFormat="1" applyFont="1" applyFill="1" applyBorder="1" applyAlignment="1" applyProtection="1">
      <alignment horizontal="center" vertical="center"/>
    </xf>
    <xf numFmtId="0" fontId="1" fillId="3" borderId="11" xfId="2" applyNumberFormat="1" applyBorder="1" applyAlignment="1" applyProtection="1">
      <alignment horizontal="center" vertical="center"/>
    </xf>
    <xf numFmtId="179" fontId="1" fillId="3" borderId="11" xfId="2" applyNumberFormat="1" applyBorder="1" applyAlignment="1">
      <alignment horizontal="center" vertical="center"/>
    </xf>
    <xf numFmtId="176" fontId="1" fillId="3" borderId="11" xfId="2" applyNumberFormat="1" applyBorder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3" borderId="11" xfId="2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1" fontId="1" fillId="3" borderId="11" xfId="2" applyNumberFormat="1" applyBorder="1" applyAlignment="1">
      <alignment horizontal="center" vertical="center"/>
    </xf>
    <xf numFmtId="0" fontId="2" fillId="2" borderId="16" xfId="1" applyBorder="1" applyAlignment="1">
      <alignment horizontal="center" vertical="center"/>
    </xf>
    <xf numFmtId="0" fontId="2" fillId="2" borderId="24" xfId="1" applyBorder="1" applyAlignment="1">
      <alignment horizontal="center" vertical="center"/>
    </xf>
    <xf numFmtId="0" fontId="2" fillId="2" borderId="25" xfId="1" applyBorder="1" applyAlignment="1">
      <alignment vertical="center"/>
    </xf>
    <xf numFmtId="0" fontId="2" fillId="2" borderId="0" xfId="1" applyBorder="1" applyAlignment="1">
      <alignment vertical="center"/>
    </xf>
    <xf numFmtId="0" fontId="4" fillId="4" borderId="7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9" fontId="16" fillId="0" borderId="10" xfId="0" applyNumberFormat="1" applyFont="1" applyBorder="1" applyAlignment="1">
      <alignment horizontal="center" wrapText="1"/>
    </xf>
    <xf numFmtId="0" fontId="19" fillId="5" borderId="9" xfId="0" applyFont="1" applyFill="1" applyBorder="1" applyAlignment="1">
      <alignment horizontal="center" wrapText="1"/>
    </xf>
    <xf numFmtId="0" fontId="16" fillId="5" borderId="10" xfId="0" applyFont="1" applyFill="1" applyBorder="1" applyAlignment="1">
      <alignment horizontal="center" wrapText="1"/>
    </xf>
    <xf numFmtId="176" fontId="16" fillId="5" borderId="10" xfId="0" applyNumberFormat="1" applyFont="1" applyFill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76" fontId="16" fillId="0" borderId="10" xfId="0" applyNumberFormat="1" applyFont="1" applyBorder="1" applyAlignment="1">
      <alignment horizontal="center" wrapText="1"/>
    </xf>
    <xf numFmtId="10" fontId="16" fillId="5" borderId="10" xfId="0" applyNumberFormat="1" applyFont="1" applyFill="1" applyBorder="1" applyAlignment="1">
      <alignment horizontal="center" wrapText="1"/>
    </xf>
    <xf numFmtId="176" fontId="35" fillId="12" borderId="30" xfId="0" applyNumberFormat="1" applyFont="1" applyFill="1" applyBorder="1" applyAlignment="1" applyProtection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80" fontId="1" fillId="3" borderId="11" xfId="2" applyNumberFormat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8" fillId="10" borderId="19" xfId="0" applyNumberFormat="1" applyFont="1" applyFill="1" applyBorder="1" applyAlignment="1">
      <alignment horizontal="center" vertical="center"/>
    </xf>
    <xf numFmtId="0" fontId="2" fillId="2" borderId="11" xfId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2" borderId="18" xfId="1" applyBorder="1" applyAlignment="1">
      <alignment horizontal="center" vertical="center"/>
    </xf>
    <xf numFmtId="0" fontId="2" fillId="2" borderId="19" xfId="1" applyBorder="1" applyAlignment="1">
      <alignment horizontal="center" vertical="center"/>
    </xf>
    <xf numFmtId="0" fontId="2" fillId="2" borderId="20" xfId="1" applyBorder="1" applyAlignment="1">
      <alignment horizontal="center" vertical="center"/>
    </xf>
    <xf numFmtId="0" fontId="1" fillId="3" borderId="11" xfId="2" applyBorder="1" applyAlignment="1">
      <alignment horizontal="center"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0" xfId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11" xfId="2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1" fillId="3" borderId="25" xfId="2" applyNumberFormat="1" applyBorder="1" applyAlignment="1">
      <alignment horizontal="center" vertical="center"/>
    </xf>
    <xf numFmtId="176" fontId="1" fillId="3" borderId="0" xfId="2" applyNumberFormat="1" applyBorder="1" applyAlignment="1">
      <alignment horizontal="center" vertical="center"/>
    </xf>
    <xf numFmtId="0" fontId="4" fillId="4" borderId="28" xfId="0" applyFont="1" applyFill="1" applyBorder="1" applyAlignment="1">
      <alignment horizontal="center" wrapText="1"/>
    </xf>
    <xf numFmtId="0" fontId="4" fillId="4" borderId="29" xfId="0" applyFont="1" applyFill="1" applyBorder="1" applyAlignment="1">
      <alignment horizontal="center" wrapText="1"/>
    </xf>
    <xf numFmtId="0" fontId="4" fillId="4" borderId="8" xfId="0" applyFont="1" applyFill="1" applyBorder="1" applyAlignment="1">
      <alignment horizontal="center" wrapText="1"/>
    </xf>
    <xf numFmtId="0" fontId="19" fillId="0" borderId="9" xfId="0" applyFont="1" applyBorder="1" applyAlignment="1">
      <alignment horizontal="center" wrapText="1"/>
    </xf>
    <xf numFmtId="0" fontId="0" fillId="7" borderId="0" xfId="0" applyFill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top" wrapText="1"/>
    </xf>
    <xf numFmtId="0" fontId="0" fillId="5" borderId="6" xfId="0" applyFill="1" applyBorder="1" applyAlignment="1">
      <alignment horizontal="center" vertical="center"/>
    </xf>
  </cellXfs>
  <cellStyles count="3">
    <cellStyle name="20% - 着色 1" xfId="2" builtinId="30"/>
    <cellStyle name="常规" xfId="0" builtinId="0"/>
    <cellStyle name="着色 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累计现金流量图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781977839629989"/>
          <c:y val="0.16260468645238024"/>
          <c:w val="0.83305181286943453"/>
          <c:h val="0.7676379118478827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财务报表!$C$32:$R$32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财务报表!$C$49:$R$49</c:f>
              <c:numCache>
                <c:formatCode>General</c:formatCode>
                <c:ptCount val="16"/>
                <c:pt idx="0">
                  <c:v>0</c:v>
                </c:pt>
                <c:pt idx="1">
                  <c:v>-41099.21744298593</c:v>
                </c:pt>
                <c:pt idx="2">
                  <c:v>-10706.886839100371</c:v>
                </c:pt>
                <c:pt idx="3">
                  <c:v>28940.395365895274</c:v>
                </c:pt>
                <c:pt idx="4">
                  <c:v>73215.153371446038</c:v>
                </c:pt>
                <c:pt idx="5">
                  <c:v>117489.91137699681</c:v>
                </c:pt>
                <c:pt idx="6">
                  <c:v>161764.66938254758</c:v>
                </c:pt>
                <c:pt idx="7">
                  <c:v>205958.05323420963</c:v>
                </c:pt>
                <c:pt idx="8">
                  <c:v>252232.8112397604</c:v>
                </c:pt>
                <c:pt idx="9">
                  <c:v>298507.5692453112</c:v>
                </c:pt>
                <c:pt idx="10">
                  <c:v>344782.32725086197</c:v>
                </c:pt>
                <c:pt idx="11">
                  <c:v>391057.08525641274</c:v>
                </c:pt>
                <c:pt idx="12">
                  <c:v>437331.84326196351</c:v>
                </c:pt>
                <c:pt idx="13">
                  <c:v>483606.60126751428</c:v>
                </c:pt>
                <c:pt idx="14">
                  <c:v>529881.35927306511</c:v>
                </c:pt>
                <c:pt idx="15">
                  <c:v>576156.11727861594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5-4ADA-AEE0-0ED5AF1EB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795328"/>
        <c:axId val="1007840672"/>
      </c:scatterChart>
      <c:valAx>
        <c:axId val="98179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7840672"/>
        <c:crosses val="autoZero"/>
        <c:crossBetween val="midCat"/>
      </c:valAx>
      <c:valAx>
        <c:axId val="10078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179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财务报表!$C$53:$R$53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财务报表!$C$67:$R$67</c:f>
              <c:numCache>
                <c:formatCode>General</c:formatCode>
                <c:ptCount val="16"/>
                <c:pt idx="0">
                  <c:v>0</c:v>
                </c:pt>
                <c:pt idx="1">
                  <c:v>-35738.449950422546</c:v>
                </c:pt>
                <c:pt idx="2">
                  <c:v>-5346.1193465369652</c:v>
                </c:pt>
                <c:pt idx="3">
                  <c:v>34301.162858458665</c:v>
                </c:pt>
                <c:pt idx="4">
                  <c:v>78575.920864009444</c:v>
                </c:pt>
                <c:pt idx="5">
                  <c:v>122850.67886956022</c:v>
                </c:pt>
                <c:pt idx="6">
                  <c:v>167125.43687511099</c:v>
                </c:pt>
                <c:pt idx="7">
                  <c:v>211318.82072677303</c:v>
                </c:pt>
                <c:pt idx="8">
                  <c:v>257593.5787323238</c:v>
                </c:pt>
                <c:pt idx="9">
                  <c:v>303868.33673787455</c:v>
                </c:pt>
                <c:pt idx="10">
                  <c:v>350143.09474342532</c:v>
                </c:pt>
                <c:pt idx="11">
                  <c:v>396417.85274897609</c:v>
                </c:pt>
                <c:pt idx="12">
                  <c:v>442692.61075452686</c:v>
                </c:pt>
                <c:pt idx="13">
                  <c:v>488967.36876007763</c:v>
                </c:pt>
                <c:pt idx="14">
                  <c:v>535242.12676562835</c:v>
                </c:pt>
                <c:pt idx="15">
                  <c:v>581516.88477117918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4-41E1-B5A3-4DB77146B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032320"/>
        <c:axId val="1169928992"/>
      </c:scatterChart>
      <c:valAx>
        <c:axId val="98203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年份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88561075841635617"/>
              <c:y val="0.73311008028890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9928992"/>
        <c:crosses val="autoZero"/>
        <c:crossBetween val="midCat"/>
      </c:valAx>
      <c:valAx>
        <c:axId val="11699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累计折现值（万元）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03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78464106844701"/>
          <c:y val="5.49526668205957E-2"/>
          <c:w val="0.79763494713411198"/>
          <c:h val="0.8259062572154239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财务报表!$A$77:$A$92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财务报表!$E$77:$E$92</c:f>
              <c:numCache>
                <c:formatCode>0.00_ </c:formatCode>
                <c:ptCount val="16"/>
                <c:pt idx="0" formatCode="General">
                  <c:v>0</c:v>
                </c:pt>
                <c:pt idx="1">
                  <c:v>-31626.946858781019</c:v>
                </c:pt>
                <c:pt idx="2">
                  <c:v>-7825.2939463481052</c:v>
                </c:pt>
                <c:pt idx="3">
                  <c:v>19652.261419693717</c:v>
                </c:pt>
                <c:pt idx="4">
                  <c:v>37558.151714968117</c:v>
                </c:pt>
                <c:pt idx="5">
                  <c:v>61588.716536451931</c:v>
                </c:pt>
                <c:pt idx="6">
                  <c:v>82854.703104136715</c:v>
                </c:pt>
                <c:pt idx="7">
                  <c:v>101639.57129344455</c:v>
                </c:pt>
                <c:pt idx="8">
                  <c:v>119046.27786604309</c:v>
                </c:pt>
                <c:pt idx="9">
                  <c:v>134450.44297453738</c:v>
                </c:pt>
                <c:pt idx="10">
                  <c:v>148082.44749532879</c:v>
                </c:pt>
                <c:pt idx="11">
                  <c:v>160146.16831018843</c:v>
                </c:pt>
                <c:pt idx="12">
                  <c:v>170822.02743838282</c:v>
                </c:pt>
                <c:pt idx="13">
                  <c:v>180269.69038368759</c:v>
                </c:pt>
                <c:pt idx="14">
                  <c:v>188630.45405209888</c:v>
                </c:pt>
                <c:pt idx="15">
                  <c:v>196029.35995334783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5D-48E1-A2F1-3AF08105B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640291"/>
        <c:axId val="865064441"/>
      </c:scatterChart>
      <c:valAx>
        <c:axId val="8836402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年份</a:t>
                </a:r>
              </a:p>
            </c:rich>
          </c:tx>
          <c:layout>
            <c:manualLayout>
              <c:xMode val="edge"/>
              <c:yMode val="edge"/>
              <c:x val="0.86926822481914301"/>
              <c:y val="0.806476849653944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064441"/>
        <c:crosses val="autoZero"/>
        <c:crossBetween val="midCat"/>
      </c:valAx>
      <c:valAx>
        <c:axId val="8650644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累计折现值（万元）</a:t>
                </a:r>
              </a:p>
            </c:rich>
          </c:tx>
          <c:layout>
            <c:manualLayout>
              <c:xMode val="edge"/>
              <c:yMode val="edge"/>
              <c:x val="1.41903171953255E-2"/>
              <c:y val="6.930006930006929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36402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盈亏平衡分析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销售收入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不确定分析!$B$12:$L$12</c:f>
              <c:numCache>
                <c:formatCode>0_ 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不确定分析!$B$13:$L$13</c:f>
              <c:numCache>
                <c:formatCode>0.00_ </c:formatCode>
                <c:ptCount val="11"/>
                <c:pt idx="0">
                  <c:v>0</c:v>
                </c:pt>
                <c:pt idx="1">
                  <c:v>40049.192109021766</c:v>
                </c:pt>
                <c:pt idx="2">
                  <c:v>80098.384218043531</c:v>
                </c:pt>
                <c:pt idx="3">
                  <c:v>120147.5763270653</c:v>
                </c:pt>
                <c:pt idx="4">
                  <c:v>160196.76843608706</c:v>
                </c:pt>
                <c:pt idx="5">
                  <c:v>200245.96054510883</c:v>
                </c:pt>
                <c:pt idx="6">
                  <c:v>240295.15265413059</c:v>
                </c:pt>
                <c:pt idx="7">
                  <c:v>280344.34476315236</c:v>
                </c:pt>
                <c:pt idx="8">
                  <c:v>320393.53687217413</c:v>
                </c:pt>
                <c:pt idx="9">
                  <c:v>360442.72898119589</c:v>
                </c:pt>
                <c:pt idx="10">
                  <c:v>400491.92109021766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5-4242-A37B-F9EEC94B706E}"/>
            </c:ext>
          </c:extLst>
        </c:ser>
        <c:ser>
          <c:idx val="1"/>
          <c:order val="1"/>
          <c:tx>
            <c:v>总成本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不确定分析!$B$12:$L$12</c:f>
              <c:numCache>
                <c:formatCode>0_ 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不确定分析!$B$14:$L$14</c:f>
              <c:numCache>
                <c:formatCode>0.00_ </c:formatCode>
                <c:ptCount val="11"/>
                <c:pt idx="0">
                  <c:v>4317.3415958819478</c:v>
                </c:pt>
                <c:pt idx="1">
                  <c:v>38915.098365727492</c:v>
                </c:pt>
                <c:pt idx="2">
                  <c:v>73512.855135573045</c:v>
                </c:pt>
                <c:pt idx="3">
                  <c:v>108110.61190541858</c:v>
                </c:pt>
                <c:pt idx="4">
                  <c:v>142708.36867526412</c:v>
                </c:pt>
                <c:pt idx="5">
                  <c:v>177306.12544510968</c:v>
                </c:pt>
                <c:pt idx="6">
                  <c:v>211903.8822149552</c:v>
                </c:pt>
                <c:pt idx="7">
                  <c:v>246501.63898480075</c:v>
                </c:pt>
                <c:pt idx="8">
                  <c:v>281099.39575464634</c:v>
                </c:pt>
                <c:pt idx="9">
                  <c:v>315697.15252449189</c:v>
                </c:pt>
                <c:pt idx="10">
                  <c:v>350294.90929433744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5-4242-A37B-F9EEC94B7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565728"/>
        <c:axId val="1214912288"/>
      </c:scatterChart>
      <c:valAx>
        <c:axId val="100956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4912288"/>
        <c:crosses val="autoZero"/>
        <c:crossBetween val="midCat"/>
      </c:valAx>
      <c:valAx>
        <c:axId val="12149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956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敏感性分析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经营成本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不确定分析!$B$18:$F$18</c:f>
              <c:numCache>
                <c:formatCode>0%</c:formatCode>
                <c:ptCount val="5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</c:numCache>
            </c:numRef>
          </c:xVal>
          <c:yVal>
            <c:numRef>
              <c:f>不确定分析!$B$20:$F$20</c:f>
              <c:numCache>
                <c:formatCode>0.00_ </c:formatCode>
                <c:ptCount val="5"/>
                <c:pt idx="0">
                  <c:v>219748.91250770292</c:v>
                </c:pt>
                <c:pt idx="1">
                  <c:v>207791.12155054871</c:v>
                </c:pt>
                <c:pt idx="2">
                  <c:v>196029.35995334783</c:v>
                </c:pt>
                <c:pt idx="3">
                  <c:v>184267.59835614695</c:v>
                </c:pt>
                <c:pt idx="4">
                  <c:v>172113.7780390394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78-4B69-A41D-D301B2438702}"/>
            </c:ext>
          </c:extLst>
        </c:ser>
        <c:ser>
          <c:idx val="1"/>
          <c:order val="1"/>
          <c:tx>
            <c:v>己二腈产量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不确定分析!$B$23:$F$23</c:f>
              <c:numCache>
                <c:formatCode>0%</c:formatCode>
                <c:ptCount val="5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</c:numCache>
            </c:numRef>
          </c:xVal>
          <c:yVal>
            <c:numRef>
              <c:f>不确定分析!$B$25:$F$25</c:f>
              <c:numCache>
                <c:formatCode>0.00_ </c:formatCode>
                <c:ptCount val="5"/>
                <c:pt idx="0">
                  <c:v>173485.98355871282</c:v>
                </c:pt>
                <c:pt idx="1">
                  <c:v>185247.7451559137</c:v>
                </c:pt>
                <c:pt idx="2">
                  <c:v>196029.35995334783</c:v>
                </c:pt>
                <c:pt idx="3">
                  <c:v>206810.97475078196</c:v>
                </c:pt>
                <c:pt idx="4">
                  <c:v>218180.67762807614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78-4B69-A41D-D301B2438702}"/>
            </c:ext>
          </c:extLst>
        </c:ser>
        <c:ser>
          <c:idx val="2"/>
          <c:order val="2"/>
          <c:tx>
            <c:v>己二腈价格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不确定分析!$B$28:$F$28</c:f>
              <c:numCache>
                <c:formatCode>0%</c:formatCode>
                <c:ptCount val="5"/>
                <c:pt idx="0">
                  <c:v>-0.1</c:v>
                </c:pt>
                <c:pt idx="1">
                  <c:v>-0.05</c:v>
                </c:pt>
                <c:pt idx="2">
                  <c:v>0</c:v>
                </c:pt>
                <c:pt idx="3">
                  <c:v>0.05</c:v>
                </c:pt>
                <c:pt idx="4">
                  <c:v>0.1</c:v>
                </c:pt>
              </c:numCache>
            </c:numRef>
          </c:xVal>
          <c:yVal>
            <c:numRef>
              <c:f>不确定分析!$B$30:$F$30</c:f>
              <c:numCache>
                <c:formatCode>0.00_ </c:formatCode>
                <c:ptCount val="5"/>
                <c:pt idx="0">
                  <c:v>160940.10452169855</c:v>
                </c:pt>
                <c:pt idx="1">
                  <c:v>178386.71755754654</c:v>
                </c:pt>
                <c:pt idx="2">
                  <c:v>196029.35995334783</c:v>
                </c:pt>
                <c:pt idx="3">
                  <c:v>213672.00234914914</c:v>
                </c:pt>
                <c:pt idx="4">
                  <c:v>231706.70346485713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78-4B69-A41D-D301B2438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362847"/>
        <c:axId val="645747695"/>
      </c:scatterChart>
      <c:valAx>
        <c:axId val="21536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变动幅度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747695"/>
        <c:crosses val="autoZero"/>
        <c:crossBetween val="midCat"/>
      </c:valAx>
      <c:valAx>
        <c:axId val="645747695"/>
        <c:scaling>
          <c:orientation val="minMax"/>
          <c:min val="1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净现值（万元）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536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403242</xdr:colOff>
      <xdr:row>32</xdr:row>
      <xdr:rowOff>17639</xdr:rowOff>
    </xdr:from>
    <xdr:to>
      <xdr:col>27</xdr:col>
      <xdr:colOff>35278</xdr:colOff>
      <xdr:row>48</xdr:row>
      <xdr:rowOff>105293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05990E-1692-4365-914B-DDD32D411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253999</xdr:colOff>
      <xdr:row>52</xdr:row>
      <xdr:rowOff>24203</xdr:rowOff>
    </xdr:from>
    <xdr:to>
      <xdr:col>27</xdr:col>
      <xdr:colOff>623659</xdr:colOff>
      <xdr:row>69</xdr:row>
      <xdr:rowOff>11339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3B24C31-5413-4B7F-B980-53DBBCABA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185208</xdr:colOff>
      <xdr:row>75</xdr:row>
      <xdr:rowOff>388054</xdr:rowOff>
    </xdr:from>
    <xdr:to>
      <xdr:col>13</xdr:col>
      <xdr:colOff>133016</xdr:colOff>
      <xdr:row>90</xdr:row>
      <xdr:rowOff>115617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F4DEC30-57E9-491D-B542-956DABB25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0.00755</cdr:x>
      <cdr:y>0.24853</cdr:y>
    </cdr:from>
    <cdr:to>
      <cdr:x>0.05729</cdr:x>
      <cdr:y>0.77268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2254FA44-370A-4E0C-8952-E0C8F0E78153}"/>
            </a:ext>
          </a:extLst>
        </cdr:cNvPr>
        <cdr:cNvSpPr txBox="1"/>
      </cdr:nvSpPr>
      <cdr:spPr>
        <a:xfrm xmlns:a="http://schemas.openxmlformats.org/drawingml/2006/main" rot="16200000">
          <a:off x="-581562" y="1346898"/>
          <a:ext cx="1525223" cy="2778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1100"/>
            <a:t>累计现金流量（万元）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502048</xdr:colOff>
      <xdr:row>4</xdr:row>
      <xdr:rowOff>12501</xdr:rowOff>
    </xdr:from>
    <xdr:to>
      <xdr:col>21</xdr:col>
      <xdr:colOff>420689</xdr:colOff>
      <xdr:row>19</xdr:row>
      <xdr:rowOff>76795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8FF8252-3385-4868-83B2-E28E5344D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84301</xdr:colOff>
      <xdr:row>18</xdr:row>
      <xdr:rowOff>40727</xdr:rowOff>
    </xdr:from>
    <xdr:to>
      <xdr:col>13</xdr:col>
      <xdr:colOff>109482</xdr:colOff>
      <xdr:row>45</xdr:row>
      <xdr:rowOff>175171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0A04936-1C8E-4705-B54C-0B4780B98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0640-2115-4F03-9A47-FBB12FD9D64B}">
  <dimension ref="A1:D48"/>
  <sheetViews>
    <sheetView topLeftCell="A32" workbookViewId="0">
      <selection sqref="A1:D48"/>
    </sheetView>
  </sheetViews>
  <sheetFormatPr defaultRowHeight="14" x14ac:dyDescent="0.3"/>
  <cols>
    <col min="2" max="2" width="24.25" customWidth="1"/>
    <col min="3" max="3" width="12" customWidth="1"/>
    <col min="4" max="4" width="11.25" bestFit="1" customWidth="1"/>
  </cols>
  <sheetData>
    <row r="1" spans="1:4" x14ac:dyDescent="0.3">
      <c r="A1" s="90" t="s">
        <v>51</v>
      </c>
      <c r="B1" s="90" t="s">
        <v>52</v>
      </c>
      <c r="C1" s="90" t="s">
        <v>53</v>
      </c>
      <c r="D1" s="90" t="s">
        <v>54</v>
      </c>
    </row>
    <row r="2" spans="1:4" x14ac:dyDescent="0.3">
      <c r="A2" s="3" t="s">
        <v>55</v>
      </c>
      <c r="B2" s="3" t="s">
        <v>56</v>
      </c>
      <c r="C2" s="3" t="s">
        <v>127</v>
      </c>
      <c r="D2" s="3">
        <v>10.5</v>
      </c>
    </row>
    <row r="3" spans="1:4" x14ac:dyDescent="0.3">
      <c r="A3" s="91" t="s">
        <v>57</v>
      </c>
      <c r="B3" s="91" t="s">
        <v>58</v>
      </c>
      <c r="C3" s="91"/>
      <c r="D3" s="91"/>
    </row>
    <row r="4" spans="1:4" x14ac:dyDescent="0.3">
      <c r="A4" s="3">
        <v>1</v>
      </c>
      <c r="B4" s="3" t="s">
        <v>59</v>
      </c>
      <c r="C4" s="3" t="s">
        <v>122</v>
      </c>
      <c r="D4" s="3">
        <f>产品销售收入和税金估算!D2</f>
        <v>107777.88513829521</v>
      </c>
    </row>
    <row r="5" spans="1:4" x14ac:dyDescent="0.3">
      <c r="A5" s="91">
        <v>2</v>
      </c>
      <c r="B5" s="91" t="s">
        <v>61</v>
      </c>
      <c r="C5" s="91" t="s">
        <v>122</v>
      </c>
      <c r="D5" s="91">
        <f>产品销售收入和税金估算!D4</f>
        <v>17472.951955527042</v>
      </c>
    </row>
    <row r="6" spans="1:4" x14ac:dyDescent="0.3">
      <c r="A6" s="3">
        <v>3</v>
      </c>
      <c r="B6" s="3" t="s">
        <v>60</v>
      </c>
      <c r="C6" s="3" t="s">
        <v>122</v>
      </c>
      <c r="D6" s="3">
        <f>产品销售收入和税金估算!D3</f>
        <v>5120.5136942774006</v>
      </c>
    </row>
    <row r="7" spans="1:4" x14ac:dyDescent="0.3">
      <c r="A7" s="91" t="s">
        <v>62</v>
      </c>
      <c r="B7" s="91" t="s">
        <v>63</v>
      </c>
      <c r="C7" s="91" t="s">
        <v>64</v>
      </c>
      <c r="D7" s="91">
        <v>8000</v>
      </c>
    </row>
    <row r="8" spans="1:4" x14ac:dyDescent="0.3">
      <c r="A8" s="3" t="s">
        <v>65</v>
      </c>
      <c r="B8" s="3" t="s">
        <v>66</v>
      </c>
      <c r="C8" s="3"/>
      <c r="D8" s="3"/>
    </row>
    <row r="9" spans="1:4" x14ac:dyDescent="0.3">
      <c r="A9" s="91">
        <v>1</v>
      </c>
      <c r="B9" s="91" t="s">
        <v>67</v>
      </c>
      <c r="C9" s="91" t="s">
        <v>122</v>
      </c>
      <c r="D9" s="91">
        <f>直接材料费用表!C3</f>
        <v>178561.90240000002</v>
      </c>
    </row>
    <row r="10" spans="1:4" x14ac:dyDescent="0.3">
      <c r="A10" s="3">
        <v>2</v>
      </c>
      <c r="B10" s="3" t="s">
        <v>68</v>
      </c>
      <c r="C10" s="3" t="s">
        <v>122</v>
      </c>
      <c r="D10" s="3">
        <f>直接材料费用表!C4</f>
        <v>47681.060069143517</v>
      </c>
    </row>
    <row r="11" spans="1:4" x14ac:dyDescent="0.3">
      <c r="A11" s="91">
        <v>3</v>
      </c>
      <c r="B11" s="4" t="s">
        <v>5</v>
      </c>
      <c r="C11" s="91" t="s">
        <v>122</v>
      </c>
      <c r="D11" s="91">
        <f>直接材料费用表!C5</f>
        <v>0.96</v>
      </c>
    </row>
    <row r="12" spans="1:4" s="106" customFormat="1" x14ac:dyDescent="0.3">
      <c r="A12" s="107">
        <v>4</v>
      </c>
      <c r="B12" s="107" t="s">
        <v>786</v>
      </c>
      <c r="C12" s="107" t="s">
        <v>30</v>
      </c>
      <c r="D12" s="107">
        <f>直接材料费用表!C7</f>
        <v>0.72</v>
      </c>
    </row>
    <row r="13" spans="1:4" s="106" customFormat="1" x14ac:dyDescent="0.3">
      <c r="A13" s="108">
        <v>5</v>
      </c>
      <c r="B13" s="4" t="s">
        <v>787</v>
      </c>
      <c r="C13" s="4" t="s">
        <v>30</v>
      </c>
      <c r="D13" s="108">
        <f>直接材料费用表!C8</f>
        <v>0.21599999999999997</v>
      </c>
    </row>
    <row r="14" spans="1:4" x14ac:dyDescent="0.3">
      <c r="A14" s="3">
        <v>4</v>
      </c>
      <c r="B14" s="3" t="s">
        <v>6</v>
      </c>
      <c r="C14" s="3" t="s">
        <v>122</v>
      </c>
      <c r="D14" s="3">
        <f>直接材料费用表!C6</f>
        <v>22160.4021828652</v>
      </c>
    </row>
    <row r="15" spans="1:4" x14ac:dyDescent="0.3">
      <c r="A15" s="91" t="s">
        <v>69</v>
      </c>
      <c r="B15" s="91" t="s">
        <v>70</v>
      </c>
      <c r="C15" s="91"/>
      <c r="D15" s="91"/>
    </row>
    <row r="16" spans="1:4" x14ac:dyDescent="0.3">
      <c r="A16" s="3">
        <v>1</v>
      </c>
      <c r="B16" s="3" t="s">
        <v>71</v>
      </c>
      <c r="C16" s="3" t="s">
        <v>126</v>
      </c>
      <c r="D16" s="3">
        <f>直接材料费用表!D14</f>
        <v>62679986.880000003</v>
      </c>
    </row>
    <row r="17" spans="1:4" x14ac:dyDescent="0.3">
      <c r="A17" s="91">
        <v>2</v>
      </c>
      <c r="B17" s="91" t="s">
        <v>72</v>
      </c>
      <c r="C17" s="91" t="s">
        <v>124</v>
      </c>
      <c r="D17" s="91">
        <f>直接材料费用表!D15</f>
        <v>801274.59199999995</v>
      </c>
    </row>
    <row r="18" spans="1:4" x14ac:dyDescent="0.3">
      <c r="A18" s="3">
        <v>3</v>
      </c>
      <c r="B18" s="3" t="s">
        <v>73</v>
      </c>
      <c r="C18" s="3" t="s">
        <v>124</v>
      </c>
      <c r="D18" s="3">
        <f>直接材料费用表!D16</f>
        <v>4282326.8479999993</v>
      </c>
    </row>
    <row r="19" spans="1:4" x14ac:dyDescent="0.3">
      <c r="A19" s="91">
        <v>4</v>
      </c>
      <c r="B19" s="91" t="s">
        <v>74</v>
      </c>
      <c r="C19" s="91" t="s">
        <v>124</v>
      </c>
      <c r="D19" s="91">
        <f>直接材料费用表!D17</f>
        <v>15706406.560000001</v>
      </c>
    </row>
    <row r="20" spans="1:4" x14ac:dyDescent="0.3">
      <c r="A20" s="3">
        <v>5</v>
      </c>
      <c r="B20" s="3" t="s">
        <v>75</v>
      </c>
      <c r="C20" s="3" t="s">
        <v>124</v>
      </c>
      <c r="D20" s="3">
        <f>直接材料费用表!D18</f>
        <v>35826.9372</v>
      </c>
    </row>
    <row r="21" spans="1:4" x14ac:dyDescent="0.3">
      <c r="A21" s="91">
        <v>6</v>
      </c>
      <c r="B21" s="4" t="s">
        <v>788</v>
      </c>
      <c r="C21" s="91" t="s">
        <v>124</v>
      </c>
      <c r="D21" s="91">
        <f>直接材料费用表!D13</f>
        <v>34628.881679999999</v>
      </c>
    </row>
    <row r="22" spans="1:4" x14ac:dyDescent="0.3">
      <c r="A22" s="3">
        <v>7</v>
      </c>
      <c r="B22" s="3" t="s">
        <v>76</v>
      </c>
      <c r="C22" s="3" t="s">
        <v>125</v>
      </c>
      <c r="D22" s="3">
        <f>直接材料费用表!D19</f>
        <v>62800</v>
      </c>
    </row>
    <row r="23" spans="1:4" x14ac:dyDescent="0.3">
      <c r="A23" s="91">
        <v>8</v>
      </c>
      <c r="B23" s="91" t="s">
        <v>77</v>
      </c>
      <c r="C23" s="91" t="s">
        <v>125</v>
      </c>
      <c r="D23" s="91">
        <f>直接材料费用表!D20</f>
        <v>48000</v>
      </c>
    </row>
    <row r="24" spans="1:4" x14ac:dyDescent="0.3">
      <c r="A24" s="3">
        <v>9</v>
      </c>
      <c r="B24" s="3" t="s">
        <v>318</v>
      </c>
      <c r="C24" s="3" t="s">
        <v>124</v>
      </c>
      <c r="D24" s="3">
        <f>能耗分析!D12</f>
        <v>1151570.872</v>
      </c>
    </row>
    <row r="25" spans="1:4" x14ac:dyDescent="0.3">
      <c r="A25" s="91" t="s">
        <v>79</v>
      </c>
      <c r="B25" s="91" t="s">
        <v>80</v>
      </c>
      <c r="C25" s="91"/>
      <c r="D25" s="91"/>
    </row>
    <row r="26" spans="1:4" x14ac:dyDescent="0.3">
      <c r="A26" s="3">
        <v>1</v>
      </c>
      <c r="B26" s="3" t="s">
        <v>81</v>
      </c>
      <c r="C26" s="3" t="s">
        <v>122</v>
      </c>
      <c r="D26" s="3">
        <v>124829.52</v>
      </c>
    </row>
    <row r="27" spans="1:4" x14ac:dyDescent="0.3">
      <c r="A27" s="91">
        <v>2</v>
      </c>
      <c r="B27" s="91" t="s">
        <v>83</v>
      </c>
      <c r="C27" s="91" t="s">
        <v>123</v>
      </c>
      <c r="D27" s="91">
        <v>150</v>
      </c>
    </row>
    <row r="28" spans="1:4" x14ac:dyDescent="0.3">
      <c r="A28" s="3">
        <v>3</v>
      </c>
      <c r="B28" s="3" t="s">
        <v>82</v>
      </c>
      <c r="C28" s="3" t="s">
        <v>122</v>
      </c>
      <c r="D28" s="3">
        <v>8.7200000000000006</v>
      </c>
    </row>
    <row r="29" spans="1:4" x14ac:dyDescent="0.3">
      <c r="A29" s="91" t="s">
        <v>84</v>
      </c>
      <c r="B29" s="91" t="s">
        <v>85</v>
      </c>
      <c r="C29" s="91" t="s">
        <v>121</v>
      </c>
      <c r="D29" s="91">
        <v>52</v>
      </c>
    </row>
    <row r="30" spans="1:4" x14ac:dyDescent="0.3">
      <c r="A30" s="3" t="s">
        <v>86</v>
      </c>
      <c r="B30" s="3" t="s">
        <v>87</v>
      </c>
      <c r="C30" s="3" t="s">
        <v>119</v>
      </c>
      <c r="D30" s="3">
        <v>103315</v>
      </c>
    </row>
    <row r="31" spans="1:4" x14ac:dyDescent="0.3">
      <c r="A31" s="91" t="s">
        <v>88</v>
      </c>
      <c r="B31" s="91" t="s">
        <v>89</v>
      </c>
      <c r="C31" s="91" t="s">
        <v>118</v>
      </c>
      <c r="D31" s="91">
        <f>能耗分析!H30*0.001</f>
        <v>648039.26799260161</v>
      </c>
    </row>
    <row r="32" spans="1:4" x14ac:dyDescent="0.3">
      <c r="A32" s="3" t="s">
        <v>90</v>
      </c>
      <c r="B32" s="3" t="s">
        <v>91</v>
      </c>
      <c r="C32" s="3" t="s">
        <v>120</v>
      </c>
      <c r="D32" s="100">
        <f>能耗分析!G30*0.0001</f>
        <v>0.49707183677639327</v>
      </c>
    </row>
    <row r="33" spans="1:4" x14ac:dyDescent="0.3">
      <c r="A33" s="91" t="s">
        <v>92</v>
      </c>
      <c r="B33" s="91" t="s">
        <v>93</v>
      </c>
      <c r="C33" s="91" t="s">
        <v>117</v>
      </c>
      <c r="D33" s="91">
        <f>建设投资估算表!C69</f>
        <v>42897.263931392175</v>
      </c>
    </row>
    <row r="34" spans="1:4" x14ac:dyDescent="0.3">
      <c r="A34" s="3">
        <v>1</v>
      </c>
      <c r="B34" s="3" t="s">
        <v>94</v>
      </c>
      <c r="C34" s="3" t="s">
        <v>117</v>
      </c>
      <c r="D34" s="100">
        <f>建设投资估算表!C62</f>
        <v>35738.449950422546</v>
      </c>
    </row>
    <row r="35" spans="1:4" x14ac:dyDescent="0.3">
      <c r="A35" s="91">
        <v>2</v>
      </c>
      <c r="B35" s="91" t="s">
        <v>95</v>
      </c>
      <c r="C35" s="91" t="s">
        <v>117</v>
      </c>
      <c r="D35" s="101">
        <f>建设投资估算表!C68</f>
        <v>5360.7674925633828</v>
      </c>
    </row>
    <row r="36" spans="1:4" x14ac:dyDescent="0.3">
      <c r="A36" s="3">
        <v>3</v>
      </c>
      <c r="B36" s="3" t="s">
        <v>96</v>
      </c>
      <c r="C36" s="3" t="s">
        <v>117</v>
      </c>
      <c r="D36" s="100">
        <f>建设投资估算表!C67</f>
        <v>1798.0464884062458</v>
      </c>
    </row>
    <row r="37" spans="1:4" x14ac:dyDescent="0.3">
      <c r="A37" s="91" t="s">
        <v>97</v>
      </c>
      <c r="B37" s="91" t="s">
        <v>98</v>
      </c>
      <c r="C37" s="91" t="s">
        <v>117</v>
      </c>
      <c r="D37" s="101">
        <f>产品销售收入和税金估算!D10</f>
        <v>522126.72732252697</v>
      </c>
    </row>
    <row r="38" spans="1:4" x14ac:dyDescent="0.3">
      <c r="A38" s="3" t="s">
        <v>99</v>
      </c>
      <c r="B38" s="3" t="s">
        <v>100</v>
      </c>
      <c r="C38" s="3" t="s">
        <v>117</v>
      </c>
      <c r="D38" s="100">
        <f>产品成本汇总表!C52</f>
        <v>455372.97002817027</v>
      </c>
    </row>
    <row r="39" spans="1:4" x14ac:dyDescent="0.3">
      <c r="A39" s="91" t="s">
        <v>101</v>
      </c>
      <c r="B39" s="91" t="s">
        <v>102</v>
      </c>
      <c r="C39" s="91" t="s">
        <v>117</v>
      </c>
      <c r="D39" s="101">
        <f>财务报表!C6</f>
        <v>57058.891212891787</v>
      </c>
    </row>
    <row r="40" spans="1:4" x14ac:dyDescent="0.3">
      <c r="A40" s="3" t="s">
        <v>103</v>
      </c>
      <c r="B40" s="3" t="s">
        <v>104</v>
      </c>
      <c r="C40" s="3" t="s">
        <v>117</v>
      </c>
      <c r="D40" s="100">
        <f>财务报表!C5</f>
        <v>9694.8660814649156</v>
      </c>
    </row>
    <row r="41" spans="1:4" x14ac:dyDescent="0.3">
      <c r="A41" s="91" t="s">
        <v>105</v>
      </c>
      <c r="B41" s="91" t="s">
        <v>106</v>
      </c>
      <c r="C41" s="91"/>
      <c r="D41" s="91"/>
    </row>
    <row r="42" spans="1:4" x14ac:dyDescent="0.3">
      <c r="A42" s="3">
        <v>1</v>
      </c>
      <c r="B42" s="3" t="s">
        <v>107</v>
      </c>
      <c r="C42" s="3" t="s">
        <v>116</v>
      </c>
      <c r="D42" s="100">
        <f>财务报表!B71</f>
        <v>133.01289169432587</v>
      </c>
    </row>
    <row r="43" spans="1:4" x14ac:dyDescent="0.3">
      <c r="A43" s="91">
        <v>2</v>
      </c>
      <c r="B43" s="91" t="s">
        <v>108</v>
      </c>
      <c r="C43" s="91" t="s">
        <v>116</v>
      </c>
      <c r="D43" s="101">
        <f>财务报表!B72</f>
        <v>155.61308852032957</v>
      </c>
    </row>
    <row r="44" spans="1:4" x14ac:dyDescent="0.3">
      <c r="A44" s="3">
        <v>3</v>
      </c>
      <c r="B44" s="3" t="s">
        <v>109</v>
      </c>
      <c r="C44" s="3" t="s">
        <v>116</v>
      </c>
      <c r="D44" s="100">
        <f>财务报表!B73</f>
        <v>119.74265383371187</v>
      </c>
    </row>
    <row r="45" spans="1:4" x14ac:dyDescent="0.3">
      <c r="A45" s="91">
        <v>4</v>
      </c>
      <c r="B45" s="91" t="s">
        <v>110</v>
      </c>
      <c r="C45" s="91" t="s">
        <v>117</v>
      </c>
      <c r="D45" s="101">
        <f>财务报表!E92</f>
        <v>196029.35995334783</v>
      </c>
    </row>
    <row r="46" spans="1:4" x14ac:dyDescent="0.3">
      <c r="A46" s="3">
        <v>5</v>
      </c>
      <c r="B46" s="3" t="s">
        <v>111</v>
      </c>
      <c r="C46" s="3" t="s">
        <v>116</v>
      </c>
      <c r="D46" s="102">
        <f>财务报表!B97*100</f>
        <v>89.097000000000008</v>
      </c>
    </row>
    <row r="47" spans="1:4" x14ac:dyDescent="0.3">
      <c r="A47" s="91" t="s">
        <v>112</v>
      </c>
      <c r="B47" s="91" t="s">
        <v>113</v>
      </c>
      <c r="C47" s="91"/>
      <c r="D47" s="91"/>
    </row>
    <row r="48" spans="1:4" x14ac:dyDescent="0.3">
      <c r="A48" s="3">
        <v>1</v>
      </c>
      <c r="B48" s="3" t="s">
        <v>114</v>
      </c>
      <c r="C48" s="3" t="s">
        <v>115</v>
      </c>
      <c r="D48" s="3">
        <v>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1A66-0A7C-4CF9-A528-3768763E17FD}">
  <dimension ref="A1:I55"/>
  <sheetViews>
    <sheetView zoomScale="75" zoomScaleNormal="75" workbookViewId="0">
      <selection activeCell="C8" sqref="C8"/>
    </sheetView>
  </sheetViews>
  <sheetFormatPr defaultRowHeight="14" x14ac:dyDescent="0.3"/>
  <cols>
    <col min="1" max="1" width="15.75" customWidth="1"/>
    <col min="2" max="2" width="16.4140625" customWidth="1"/>
    <col min="3" max="3" width="16.75" customWidth="1"/>
    <col min="4" max="4" width="12.33203125" customWidth="1"/>
    <col min="5" max="5" width="16.6640625" customWidth="1"/>
    <col min="6" max="6" width="16.33203125" customWidth="1"/>
    <col min="8" max="8" width="24.1640625" customWidth="1"/>
    <col min="9" max="9" width="12.33203125" bestFit="1" customWidth="1"/>
  </cols>
  <sheetData>
    <row r="1" spans="1:8" x14ac:dyDescent="0.3">
      <c r="A1" s="155" t="s">
        <v>11</v>
      </c>
      <c r="B1" s="155"/>
      <c r="C1" s="155"/>
      <c r="D1" s="155"/>
      <c r="E1" s="155"/>
    </row>
    <row r="2" spans="1:8" x14ac:dyDescent="0.3">
      <c r="A2" s="110" t="s">
        <v>0</v>
      </c>
      <c r="B2" s="110" t="s">
        <v>7</v>
      </c>
      <c r="C2" s="110" t="s">
        <v>8</v>
      </c>
      <c r="D2" s="110" t="s">
        <v>9</v>
      </c>
      <c r="E2" s="110" t="s">
        <v>10</v>
      </c>
    </row>
    <row r="3" spans="1:8" x14ac:dyDescent="0.3">
      <c r="A3" s="154" t="s">
        <v>1</v>
      </c>
      <c r="B3" s="113" t="s">
        <v>3</v>
      </c>
      <c r="C3" s="150">
        <f>22320.2378*8000*0.001</f>
        <v>178561.90240000002</v>
      </c>
      <c r="D3" s="113">
        <v>8900</v>
      </c>
      <c r="E3" s="113">
        <f t="shared" ref="E3:E8" si="0">D3*C3*0.0001</f>
        <v>158920.09313600001</v>
      </c>
    </row>
    <row r="4" spans="1:8" x14ac:dyDescent="0.3">
      <c r="A4" s="154"/>
      <c r="B4" s="114" t="s">
        <v>4</v>
      </c>
      <c r="C4" s="151">
        <f>5960.13250864294*8000*0.001</f>
        <v>47681.060069143517</v>
      </c>
      <c r="D4" s="114">
        <v>2800</v>
      </c>
      <c r="E4" s="114">
        <f t="shared" si="0"/>
        <v>13350.696819360186</v>
      </c>
    </row>
    <row r="5" spans="1:8" x14ac:dyDescent="0.3">
      <c r="A5" s="159" t="s">
        <v>2</v>
      </c>
      <c r="B5" s="113" t="s">
        <v>531</v>
      </c>
      <c r="C5" s="150">
        <f>0.16*6</f>
        <v>0.96</v>
      </c>
      <c r="D5" s="113">
        <v>6800</v>
      </c>
      <c r="E5" s="113">
        <f t="shared" si="0"/>
        <v>0.65280000000000005</v>
      </c>
    </row>
    <row r="6" spans="1:8" x14ac:dyDescent="0.3">
      <c r="A6" s="160"/>
      <c r="B6" s="114" t="s">
        <v>6</v>
      </c>
      <c r="C6" s="151">
        <f>(0.596072858150109+67.1622+2702.292)*8000*0.001</f>
        <v>22160.4021828652</v>
      </c>
      <c r="D6" s="114">
        <v>10</v>
      </c>
      <c r="E6" s="114">
        <f t="shared" si="0"/>
        <v>22.160402182865202</v>
      </c>
    </row>
    <row r="7" spans="1:8" x14ac:dyDescent="0.3">
      <c r="A7" s="160"/>
      <c r="B7" s="113" t="s">
        <v>533</v>
      </c>
      <c r="C7" s="113">
        <f>0.12*6</f>
        <v>0.72</v>
      </c>
      <c r="D7" s="113">
        <v>1350</v>
      </c>
      <c r="E7" s="113">
        <f t="shared" si="0"/>
        <v>9.7200000000000009E-2</v>
      </c>
      <c r="F7" t="s">
        <v>534</v>
      </c>
    </row>
    <row r="8" spans="1:8" ht="14.5" customHeight="1" x14ac:dyDescent="0.3">
      <c r="A8" s="161"/>
      <c r="B8" s="114" t="s">
        <v>532</v>
      </c>
      <c r="C8" s="114">
        <f>6*0.036</f>
        <v>0.21599999999999997</v>
      </c>
      <c r="D8" s="114">
        <v>3200</v>
      </c>
      <c r="E8" s="114">
        <f t="shared" si="0"/>
        <v>6.9120000000000001E-2</v>
      </c>
      <c r="F8" t="s">
        <v>535</v>
      </c>
    </row>
    <row r="9" spans="1:8" x14ac:dyDescent="0.3">
      <c r="A9" s="158" t="s">
        <v>536</v>
      </c>
      <c r="B9" s="158"/>
      <c r="C9" s="158"/>
      <c r="D9" s="158"/>
      <c r="E9" s="152">
        <f>SUM(E3:E8)</f>
        <v>172293.76947754307</v>
      </c>
    </row>
    <row r="11" spans="1:8" x14ac:dyDescent="0.3">
      <c r="A11" s="156" t="s">
        <v>12</v>
      </c>
      <c r="B11" s="157" t="s">
        <v>13</v>
      </c>
      <c r="C11" s="157" t="s">
        <v>14</v>
      </c>
      <c r="D11" s="157"/>
      <c r="E11" s="154" t="s">
        <v>137</v>
      </c>
      <c r="F11" s="154" t="s">
        <v>138</v>
      </c>
    </row>
    <row r="12" spans="1:8" x14ac:dyDescent="0.3">
      <c r="A12" s="157"/>
      <c r="B12" s="157"/>
      <c r="C12" s="112" t="s">
        <v>19</v>
      </c>
      <c r="D12" s="112" t="s">
        <v>20</v>
      </c>
      <c r="E12" s="154"/>
      <c r="F12" s="154"/>
    </row>
    <row r="13" spans="1:8" s="106" customFormat="1" x14ac:dyDescent="0.3">
      <c r="A13" s="113" t="s">
        <v>538</v>
      </c>
      <c r="B13" s="113" t="s">
        <v>539</v>
      </c>
      <c r="C13" s="113">
        <v>4.3286102099999999</v>
      </c>
      <c r="D13" s="113">
        <f>C13*8000</f>
        <v>34628.881679999999</v>
      </c>
      <c r="E13" s="113">
        <v>120</v>
      </c>
      <c r="F13" s="113">
        <f>E13*D13*0.0001</f>
        <v>415.54658016000002</v>
      </c>
    </row>
    <row r="14" spans="1:8" x14ac:dyDescent="0.3">
      <c r="A14" s="113" t="s">
        <v>35</v>
      </c>
      <c r="B14" s="113" t="s">
        <v>24</v>
      </c>
      <c r="C14" s="113">
        <v>7834.9983600000005</v>
      </c>
      <c r="D14" s="113">
        <f>C14*8000</f>
        <v>62679986.880000003</v>
      </c>
      <c r="E14" s="113">
        <v>0.75</v>
      </c>
      <c r="F14" s="113">
        <f>E14*D14*0.0001</f>
        <v>4700.9990160000007</v>
      </c>
      <c r="H14" s="23"/>
    </row>
    <row r="15" spans="1:8" x14ac:dyDescent="0.3">
      <c r="A15" s="113" t="s">
        <v>31</v>
      </c>
      <c r="B15" s="113" t="s">
        <v>26</v>
      </c>
      <c r="C15" s="113">
        <v>100.159324</v>
      </c>
      <c r="D15" s="113">
        <f t="shared" ref="D15:D21" si="1">C15*8000</f>
        <v>801274.59199999995</v>
      </c>
      <c r="E15" s="113">
        <v>200</v>
      </c>
      <c r="F15" s="113">
        <f t="shared" ref="F15:F20" si="2">E15*D15*0.0001</f>
        <v>16025.491839999999</v>
      </c>
      <c r="H15" s="24"/>
    </row>
    <row r="16" spans="1:8" x14ac:dyDescent="0.3">
      <c r="A16" s="114" t="s">
        <v>29</v>
      </c>
      <c r="B16" s="114" t="s">
        <v>26</v>
      </c>
      <c r="C16" s="114">
        <v>535.29085599999996</v>
      </c>
      <c r="D16" s="114">
        <f t="shared" si="1"/>
        <v>4282326.8479999993</v>
      </c>
      <c r="E16" s="114">
        <v>265</v>
      </c>
      <c r="F16" s="113">
        <f t="shared" si="2"/>
        <v>113481.66147199998</v>
      </c>
      <c r="H16" s="24"/>
    </row>
    <row r="17" spans="1:9" x14ac:dyDescent="0.3">
      <c r="A17" s="113" t="s">
        <v>36</v>
      </c>
      <c r="B17" s="113" t="s">
        <v>26</v>
      </c>
      <c r="C17" s="113">
        <v>1963.3008200000002</v>
      </c>
      <c r="D17" s="113">
        <f t="shared" si="1"/>
        <v>15706406.560000001</v>
      </c>
      <c r="E17" s="113">
        <v>0.5</v>
      </c>
      <c r="F17" s="113">
        <f t="shared" si="2"/>
        <v>785.32032800000002</v>
      </c>
      <c r="H17" s="23"/>
    </row>
    <row r="18" spans="1:9" x14ac:dyDescent="0.3">
      <c r="A18" s="114" t="s">
        <v>32</v>
      </c>
      <c r="B18" s="114" t="s">
        <v>26</v>
      </c>
      <c r="C18" s="114">
        <v>4.4783671500000004</v>
      </c>
      <c r="D18" s="114">
        <f t="shared" si="1"/>
        <v>35826.9372</v>
      </c>
      <c r="E18" s="114">
        <v>30</v>
      </c>
      <c r="F18" s="113">
        <f t="shared" si="2"/>
        <v>107.4808116</v>
      </c>
      <c r="H18" s="23"/>
    </row>
    <row r="19" spans="1:9" x14ac:dyDescent="0.3">
      <c r="A19" s="113" t="s">
        <v>37</v>
      </c>
      <c r="B19" s="113" t="s">
        <v>27</v>
      </c>
      <c r="C19" s="113">
        <v>7.85</v>
      </c>
      <c r="D19" s="113">
        <f t="shared" si="1"/>
        <v>62800</v>
      </c>
      <c r="E19" s="113">
        <v>0.2</v>
      </c>
      <c r="F19" s="113">
        <f t="shared" si="2"/>
        <v>1.256</v>
      </c>
      <c r="H19" s="26" t="s">
        <v>316</v>
      </c>
    </row>
    <row r="20" spans="1:9" x14ac:dyDescent="0.3">
      <c r="A20" s="114" t="s">
        <v>33</v>
      </c>
      <c r="B20" s="114" t="s">
        <v>27</v>
      </c>
      <c r="C20" s="114">
        <v>6</v>
      </c>
      <c r="D20" s="114">
        <f t="shared" si="1"/>
        <v>48000</v>
      </c>
      <c r="E20" s="114">
        <v>0.12</v>
      </c>
      <c r="F20" s="113">
        <f t="shared" si="2"/>
        <v>0.57600000000000007</v>
      </c>
      <c r="H20" s="24" t="s">
        <v>324</v>
      </c>
      <c r="I20" t="s">
        <v>327</v>
      </c>
    </row>
    <row r="21" spans="1:9" x14ac:dyDescent="0.3">
      <c r="A21" s="113" t="s">
        <v>78</v>
      </c>
      <c r="B21" s="113" t="s">
        <v>26</v>
      </c>
      <c r="C21" s="113">
        <v>143.946359</v>
      </c>
      <c r="D21" s="113">
        <f t="shared" si="1"/>
        <v>1151570.872</v>
      </c>
      <c r="E21" s="113">
        <v>119.58</v>
      </c>
      <c r="F21" s="113">
        <f>E21*D21*0.001</f>
        <v>137704.84487375998</v>
      </c>
      <c r="H21" s="23" t="s">
        <v>325</v>
      </c>
      <c r="I21">
        <f>800/6.69</f>
        <v>119.58146487294469</v>
      </c>
    </row>
    <row r="22" spans="1:9" x14ac:dyDescent="0.3">
      <c r="A22" s="162" t="s">
        <v>139</v>
      </c>
      <c r="B22" s="162"/>
      <c r="C22" s="162"/>
      <c r="D22" s="162"/>
      <c r="E22" s="162"/>
      <c r="F22" s="114">
        <f>SUM(F13:F21)</f>
        <v>273223.17692151992</v>
      </c>
      <c r="H22" s="23"/>
    </row>
    <row r="23" spans="1:9" x14ac:dyDescent="0.3">
      <c r="A23" s="158" t="s">
        <v>140</v>
      </c>
      <c r="B23" s="158"/>
      <c r="C23" s="158"/>
      <c r="D23" s="158"/>
      <c r="E23" s="158"/>
      <c r="F23" s="113">
        <f>F22+E9</f>
        <v>445516.94639906299</v>
      </c>
      <c r="H23" s="24"/>
    </row>
    <row r="24" spans="1:9" x14ac:dyDescent="0.3">
      <c r="H24" s="24"/>
    </row>
    <row r="25" spans="1:9" x14ac:dyDescent="0.3">
      <c r="H25" s="23"/>
    </row>
    <row r="26" spans="1:9" x14ac:dyDescent="0.3">
      <c r="A26" s="163"/>
      <c r="B26" s="163"/>
      <c r="C26" s="163"/>
      <c r="H26" s="23"/>
    </row>
    <row r="27" spans="1:9" x14ac:dyDescent="0.3">
      <c r="A27" s="89"/>
      <c r="B27" s="89"/>
      <c r="C27" s="89"/>
      <c r="H27" s="24"/>
    </row>
    <row r="28" spans="1:9" x14ac:dyDescent="0.3">
      <c r="A28" s="89"/>
      <c r="B28" s="89"/>
      <c r="C28" s="89"/>
      <c r="H28" s="24"/>
    </row>
    <row r="29" spans="1:9" x14ac:dyDescent="0.3">
      <c r="A29" s="89"/>
      <c r="B29" s="89"/>
      <c r="C29" s="89"/>
      <c r="H29" s="23"/>
    </row>
    <row r="30" spans="1:9" x14ac:dyDescent="0.3">
      <c r="A30" s="89"/>
      <c r="B30" s="89"/>
      <c r="C30" s="89"/>
      <c r="H30" s="23"/>
    </row>
    <row r="31" spans="1:9" x14ac:dyDescent="0.3">
      <c r="A31" s="89"/>
      <c r="B31" s="89"/>
      <c r="C31" s="89"/>
      <c r="H31" s="24"/>
    </row>
    <row r="32" spans="1:9" x14ac:dyDescent="0.3">
      <c r="A32" s="89"/>
      <c r="B32" s="89"/>
      <c r="C32" s="89"/>
      <c r="H32" s="24"/>
    </row>
    <row r="33" spans="1:8" x14ac:dyDescent="0.3">
      <c r="A33" s="163"/>
      <c r="B33" s="163"/>
      <c r="C33" s="89"/>
      <c r="H33" s="23"/>
    </row>
    <row r="34" spans="1:8" x14ac:dyDescent="0.3">
      <c r="H34" s="23"/>
    </row>
    <row r="35" spans="1:8" x14ac:dyDescent="0.3">
      <c r="H35" s="24"/>
    </row>
    <row r="36" spans="1:8" x14ac:dyDescent="0.3">
      <c r="A36" s="7" t="s">
        <v>144</v>
      </c>
      <c r="B36" s="7">
        <f ca="1">B35-B36+B37</f>
        <v>0</v>
      </c>
      <c r="H36" s="24"/>
    </row>
    <row r="37" spans="1:8" x14ac:dyDescent="0.3">
      <c r="A37" s="6" t="s">
        <v>145</v>
      </c>
      <c r="B37" s="6"/>
      <c r="H37" s="23"/>
    </row>
    <row r="38" spans="1:8" x14ac:dyDescent="0.3">
      <c r="A38" s="7" t="s">
        <v>143</v>
      </c>
      <c r="B38" s="7"/>
      <c r="H38" s="23"/>
    </row>
    <row r="39" spans="1:8" x14ac:dyDescent="0.3">
      <c r="A39" s="6" t="s">
        <v>146</v>
      </c>
      <c r="B39" s="6"/>
      <c r="H39" s="24"/>
    </row>
    <row r="40" spans="1:8" x14ac:dyDescent="0.3">
      <c r="H40" s="25"/>
    </row>
    <row r="41" spans="1:8" x14ac:dyDescent="0.3">
      <c r="H41" s="23"/>
    </row>
    <row r="42" spans="1:8" x14ac:dyDescent="0.3">
      <c r="H42" s="23"/>
    </row>
    <row r="43" spans="1:8" x14ac:dyDescent="0.3">
      <c r="H43" s="24"/>
    </row>
    <row r="44" spans="1:8" x14ac:dyDescent="0.3">
      <c r="H44" s="25"/>
    </row>
    <row r="45" spans="1:8" x14ac:dyDescent="0.3">
      <c r="H45" s="23"/>
    </row>
    <row r="46" spans="1:8" x14ac:dyDescent="0.3">
      <c r="H46" s="24"/>
    </row>
    <row r="47" spans="1:8" x14ac:dyDescent="0.3">
      <c r="H47" s="24"/>
    </row>
    <row r="48" spans="1:8" x14ac:dyDescent="0.3">
      <c r="H48" s="25"/>
    </row>
    <row r="49" spans="8:8" x14ac:dyDescent="0.3">
      <c r="H49" s="23"/>
    </row>
    <row r="50" spans="8:8" x14ac:dyDescent="0.3">
      <c r="H50" s="23"/>
    </row>
    <row r="51" spans="8:8" x14ac:dyDescent="0.3">
      <c r="H51" s="24"/>
    </row>
    <row r="52" spans="8:8" x14ac:dyDescent="0.3">
      <c r="H52" s="25"/>
    </row>
    <row r="53" spans="8:8" x14ac:dyDescent="0.3">
      <c r="H53" s="23"/>
    </row>
    <row r="54" spans="8:8" x14ac:dyDescent="0.3">
      <c r="H54" s="24"/>
    </row>
    <row r="55" spans="8:8" x14ac:dyDescent="0.3">
      <c r="H55" s="24"/>
    </row>
  </sheetData>
  <mergeCells count="13">
    <mergeCell ref="F11:F12"/>
    <mergeCell ref="A22:E22"/>
    <mergeCell ref="A23:E23"/>
    <mergeCell ref="A33:B33"/>
    <mergeCell ref="A26:C26"/>
    <mergeCell ref="A3:A4"/>
    <mergeCell ref="A1:E1"/>
    <mergeCell ref="A11:A12"/>
    <mergeCell ref="B11:B12"/>
    <mergeCell ref="C11:D11"/>
    <mergeCell ref="E11:E12"/>
    <mergeCell ref="A9:D9"/>
    <mergeCell ref="A5:A8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9AFD-B243-4FCB-843D-33EDAC487AF2}">
  <dimension ref="A1:F19"/>
  <sheetViews>
    <sheetView topLeftCell="A10" zoomScale="94" workbookViewId="0">
      <selection activeCell="D7" sqref="D7"/>
    </sheetView>
  </sheetViews>
  <sheetFormatPr defaultRowHeight="14" x14ac:dyDescent="0.3"/>
  <cols>
    <col min="2" max="2" width="17.75" customWidth="1"/>
    <col min="3" max="3" width="11.4140625" customWidth="1"/>
    <col min="4" max="4" width="12.25" customWidth="1"/>
    <col min="5" max="5" width="15.1640625" customWidth="1"/>
    <col min="6" max="6" width="15.33203125" customWidth="1"/>
  </cols>
  <sheetData>
    <row r="1" spans="1:6" x14ac:dyDescent="0.3">
      <c r="A1" s="5" t="s">
        <v>141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</row>
    <row r="2" spans="1:6" x14ac:dyDescent="0.3">
      <c r="A2" s="7">
        <v>1</v>
      </c>
      <c r="B2" s="7" t="s">
        <v>313</v>
      </c>
      <c r="C2" s="118">
        <v>99.99</v>
      </c>
      <c r="D2" s="7">
        <f>13472.2356422869*8000*0.001</f>
        <v>107777.88513829521</v>
      </c>
      <c r="E2" s="7">
        <v>35000</v>
      </c>
      <c r="F2" s="19">
        <f>E2*D2*0.0001</f>
        <v>377222.59798403329</v>
      </c>
    </row>
    <row r="3" spans="1:6" x14ac:dyDescent="0.3">
      <c r="A3" s="6">
        <v>2</v>
      </c>
      <c r="B3" s="6" t="s">
        <v>315</v>
      </c>
      <c r="C3" s="6">
        <v>99</v>
      </c>
      <c r="D3" s="6">
        <f>640.064211784675*8000*0.001</f>
        <v>5120.5136942774006</v>
      </c>
      <c r="E3" s="6">
        <v>10000</v>
      </c>
      <c r="F3" s="18">
        <f>E3*D3*0.0001</f>
        <v>5120.5136942774006</v>
      </c>
    </row>
    <row r="4" spans="1:6" x14ac:dyDescent="0.3">
      <c r="A4" s="7">
        <v>3</v>
      </c>
      <c r="B4" s="22" t="s">
        <v>314</v>
      </c>
      <c r="C4" s="7">
        <v>99.1</v>
      </c>
      <c r="D4" s="7">
        <f>2184.11899444088*8000*0.001</f>
        <v>17472.951955527042</v>
      </c>
      <c r="E4" s="7">
        <v>80000</v>
      </c>
      <c r="F4" s="19">
        <f>E4*D4*0.0001</f>
        <v>139783.61564421633</v>
      </c>
    </row>
    <row r="5" spans="1:6" x14ac:dyDescent="0.3">
      <c r="A5" s="164" t="s">
        <v>152</v>
      </c>
      <c r="B5" s="164"/>
      <c r="C5" s="164"/>
      <c r="D5" s="164"/>
      <c r="E5" s="164"/>
      <c r="F5" s="6">
        <f>SUM(F2:F4)</f>
        <v>522126.72732252697</v>
      </c>
    </row>
    <row r="7" spans="1:6" x14ac:dyDescent="0.3">
      <c r="C7" t="s">
        <v>317</v>
      </c>
      <c r="D7">
        <f>D4+D3+D2</f>
        <v>130371.35078809966</v>
      </c>
    </row>
    <row r="8" spans="1:6" ht="15.5" x14ac:dyDescent="0.3">
      <c r="A8" s="47" t="s">
        <v>485</v>
      </c>
      <c r="B8" s="43"/>
    </row>
    <row r="9" spans="1:6" x14ac:dyDescent="0.3">
      <c r="A9" s="103" t="s">
        <v>51</v>
      </c>
      <c r="B9" s="103" t="s">
        <v>142</v>
      </c>
      <c r="C9" s="103" t="s">
        <v>153</v>
      </c>
      <c r="D9" s="103" t="s">
        <v>154</v>
      </c>
    </row>
    <row r="10" spans="1:6" x14ac:dyDescent="0.3">
      <c r="A10" s="104"/>
      <c r="B10" s="104" t="s">
        <v>155</v>
      </c>
      <c r="C10" s="104"/>
      <c r="D10" s="104">
        <f>F5</f>
        <v>522126.72732252697</v>
      </c>
    </row>
    <row r="11" spans="1:6" x14ac:dyDescent="0.3">
      <c r="A11" s="105"/>
      <c r="B11" s="105" t="s">
        <v>156</v>
      </c>
      <c r="C11" s="105">
        <v>13</v>
      </c>
      <c r="D11" s="105">
        <f>D10*C11/(100+C11)</f>
        <v>60067.676594627002</v>
      </c>
    </row>
    <row r="12" spans="1:6" x14ac:dyDescent="0.3">
      <c r="A12" s="104"/>
      <c r="B12" s="104" t="s">
        <v>157</v>
      </c>
      <c r="C12" s="104"/>
      <c r="D12" s="104">
        <f>产品成本汇总表!C52</f>
        <v>455372.97002817027</v>
      </c>
    </row>
    <row r="13" spans="1:6" x14ac:dyDescent="0.3">
      <c r="A13" s="105"/>
      <c r="B13" s="105" t="s">
        <v>158</v>
      </c>
      <c r="C13" s="105"/>
      <c r="D13" s="105">
        <f>直接材料费用表!F23</f>
        <v>445516.94639906299</v>
      </c>
    </row>
    <row r="14" spans="1:6" x14ac:dyDescent="0.3">
      <c r="A14" s="104"/>
      <c r="B14" s="104" t="s">
        <v>159</v>
      </c>
      <c r="C14" s="104">
        <v>13</v>
      </c>
      <c r="D14" s="104">
        <f>D13*C14/(100+C14)</f>
        <v>51254.161975113442</v>
      </c>
    </row>
    <row r="15" spans="1:6" x14ac:dyDescent="0.3">
      <c r="A15" s="105">
        <v>1</v>
      </c>
      <c r="B15" s="105" t="s">
        <v>160</v>
      </c>
      <c r="C15" s="105">
        <v>13</v>
      </c>
      <c r="D15" s="105">
        <f>D11-D14</f>
        <v>8813.5146195135603</v>
      </c>
    </row>
    <row r="16" spans="1:6" x14ac:dyDescent="0.3">
      <c r="A16" s="104">
        <v>2</v>
      </c>
      <c r="B16" s="104" t="s">
        <v>161</v>
      </c>
      <c r="C16" s="104">
        <v>7</v>
      </c>
      <c r="D16" s="104">
        <f>D15*C16*0.01</f>
        <v>616.94602336594926</v>
      </c>
    </row>
    <row r="17" spans="1:4" x14ac:dyDescent="0.3">
      <c r="A17" s="105">
        <v>3</v>
      </c>
      <c r="B17" s="105" t="s">
        <v>162</v>
      </c>
      <c r="C17" s="105">
        <v>3</v>
      </c>
      <c r="D17" s="105">
        <f>D15*C17*0.01</f>
        <v>264.40543858540684</v>
      </c>
    </row>
    <row r="18" spans="1:4" x14ac:dyDescent="0.3">
      <c r="A18" s="104"/>
      <c r="B18" s="104" t="s">
        <v>163</v>
      </c>
      <c r="C18" s="104"/>
      <c r="D18" s="104">
        <f>D15+D16+D17</f>
        <v>9694.8660814649156</v>
      </c>
    </row>
    <row r="19" spans="1:4" x14ac:dyDescent="0.3">
      <c r="A19" s="105">
        <v>4</v>
      </c>
      <c r="B19" s="105" t="s">
        <v>164</v>
      </c>
      <c r="C19" s="105">
        <v>25</v>
      </c>
      <c r="D19" s="105">
        <f>C19*0.01*(D10-D12)</f>
        <v>16688.439323589177</v>
      </c>
    </row>
  </sheetData>
  <mergeCells count="1">
    <mergeCell ref="A5:E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2ADB-8918-4523-8BF9-7606B56F38E9}">
  <dimension ref="A1:G26"/>
  <sheetViews>
    <sheetView tabSelected="1" zoomScale="80" workbookViewId="0">
      <selection activeCell="F25" sqref="F25"/>
    </sheetView>
  </sheetViews>
  <sheetFormatPr defaultRowHeight="14" x14ac:dyDescent="0.3"/>
  <cols>
    <col min="1" max="1" width="12.4140625" customWidth="1"/>
    <col min="2" max="3" width="11" customWidth="1"/>
    <col min="4" max="4" width="17.58203125" customWidth="1"/>
    <col min="5" max="5" width="13" customWidth="1"/>
    <col min="6" max="6" width="16.75" customWidth="1"/>
    <col min="7" max="7" width="16.08203125" customWidth="1"/>
  </cols>
  <sheetData>
    <row r="1" spans="1:7" x14ac:dyDescent="0.3">
      <c r="A1" s="166" t="s">
        <v>183</v>
      </c>
      <c r="B1" s="166"/>
      <c r="C1" s="86" t="s">
        <v>184</v>
      </c>
      <c r="D1" s="86" t="s">
        <v>185</v>
      </c>
      <c r="E1" s="86" t="s">
        <v>186</v>
      </c>
      <c r="F1" s="86" t="s">
        <v>187</v>
      </c>
      <c r="G1" s="86" t="s">
        <v>188</v>
      </c>
    </row>
    <row r="2" spans="1:7" x14ac:dyDescent="0.3">
      <c r="A2" s="167" t="s">
        <v>165</v>
      </c>
      <c r="B2" s="87" t="s">
        <v>166</v>
      </c>
      <c r="C2" s="87">
        <v>1</v>
      </c>
      <c r="D2" s="87">
        <v>1</v>
      </c>
      <c r="E2" s="87">
        <f t="shared" ref="E2:E7" si="0">D2*C2</f>
        <v>1</v>
      </c>
      <c r="F2" s="87">
        <v>20</v>
      </c>
      <c r="G2" s="87">
        <f>F2*E2</f>
        <v>20</v>
      </c>
    </row>
    <row r="3" spans="1:7" x14ac:dyDescent="0.3">
      <c r="A3" s="167"/>
      <c r="B3" s="92" t="s">
        <v>167</v>
      </c>
      <c r="C3" s="92">
        <v>1</v>
      </c>
      <c r="D3" s="92">
        <v>1</v>
      </c>
      <c r="E3" s="92">
        <f t="shared" si="0"/>
        <v>1</v>
      </c>
      <c r="F3" s="92">
        <v>15</v>
      </c>
      <c r="G3" s="92">
        <f t="shared" ref="G3:G15" si="1">F3*E3</f>
        <v>15</v>
      </c>
    </row>
    <row r="4" spans="1:7" x14ac:dyDescent="0.3">
      <c r="A4" s="88" t="s">
        <v>168</v>
      </c>
      <c r="B4" s="87"/>
      <c r="C4" s="87">
        <v>2</v>
      </c>
      <c r="D4" s="87">
        <v>1</v>
      </c>
      <c r="E4" s="87">
        <f t="shared" si="0"/>
        <v>2</v>
      </c>
      <c r="F4" s="87">
        <v>12</v>
      </c>
      <c r="G4" s="87">
        <f t="shared" si="1"/>
        <v>24</v>
      </c>
    </row>
    <row r="5" spans="1:7" x14ac:dyDescent="0.3">
      <c r="A5" s="88" t="s">
        <v>169</v>
      </c>
      <c r="B5" s="92"/>
      <c r="C5" s="92">
        <v>2</v>
      </c>
      <c r="D5" s="92">
        <v>1</v>
      </c>
      <c r="E5" s="92">
        <f t="shared" si="0"/>
        <v>2</v>
      </c>
      <c r="F5" s="92">
        <v>10</v>
      </c>
      <c r="G5" s="92">
        <f t="shared" si="1"/>
        <v>20</v>
      </c>
    </row>
    <row r="6" spans="1:7" x14ac:dyDescent="0.3">
      <c r="A6" s="167" t="s">
        <v>170</v>
      </c>
      <c r="B6" s="87" t="s">
        <v>171</v>
      </c>
      <c r="C6" s="87">
        <v>2</v>
      </c>
      <c r="D6" s="87">
        <v>1</v>
      </c>
      <c r="E6" s="87">
        <f t="shared" si="0"/>
        <v>2</v>
      </c>
      <c r="F6" s="87">
        <v>11</v>
      </c>
      <c r="G6" s="87">
        <f t="shared" si="1"/>
        <v>22</v>
      </c>
    </row>
    <row r="7" spans="1:7" x14ac:dyDescent="0.3">
      <c r="A7" s="167"/>
      <c r="B7" s="92" t="s">
        <v>172</v>
      </c>
      <c r="C7" s="92">
        <v>6</v>
      </c>
      <c r="D7" s="92">
        <v>4</v>
      </c>
      <c r="E7" s="92">
        <f t="shared" si="0"/>
        <v>24</v>
      </c>
      <c r="F7" s="92">
        <v>9</v>
      </c>
      <c r="G7" s="92">
        <f t="shared" si="1"/>
        <v>216</v>
      </c>
    </row>
    <row r="8" spans="1:7" x14ac:dyDescent="0.3">
      <c r="A8" s="167" t="s">
        <v>173</v>
      </c>
      <c r="B8" s="87" t="s">
        <v>174</v>
      </c>
      <c r="C8" s="87">
        <v>1</v>
      </c>
      <c r="D8" s="87">
        <v>1</v>
      </c>
      <c r="E8" s="87">
        <f t="shared" ref="E8:E15" si="2">D8*C8</f>
        <v>1</v>
      </c>
      <c r="F8" s="87">
        <v>11</v>
      </c>
      <c r="G8" s="87">
        <f t="shared" si="1"/>
        <v>11</v>
      </c>
    </row>
    <row r="9" spans="1:7" x14ac:dyDescent="0.3">
      <c r="A9" s="167"/>
      <c r="B9" s="92" t="s">
        <v>172</v>
      </c>
      <c r="C9" s="92">
        <v>4</v>
      </c>
      <c r="D9" s="92">
        <v>1</v>
      </c>
      <c r="E9" s="92">
        <f t="shared" si="2"/>
        <v>4</v>
      </c>
      <c r="F9" s="92">
        <v>9</v>
      </c>
      <c r="G9" s="92">
        <f t="shared" si="1"/>
        <v>36</v>
      </c>
    </row>
    <row r="10" spans="1:7" x14ac:dyDescent="0.3">
      <c r="A10" s="88" t="s">
        <v>175</v>
      </c>
      <c r="B10" s="87"/>
      <c r="C10" s="87">
        <v>4</v>
      </c>
      <c r="D10" s="87">
        <v>1</v>
      </c>
      <c r="E10" s="87">
        <f t="shared" si="2"/>
        <v>4</v>
      </c>
      <c r="F10" s="87">
        <v>8</v>
      </c>
      <c r="G10" s="87">
        <f t="shared" si="1"/>
        <v>32</v>
      </c>
    </row>
    <row r="11" spans="1:7" x14ac:dyDescent="0.3">
      <c r="A11" s="88" t="s">
        <v>176</v>
      </c>
      <c r="B11" s="92"/>
      <c r="C11" s="92">
        <v>2</v>
      </c>
      <c r="D11" s="92">
        <v>1</v>
      </c>
      <c r="E11" s="92">
        <f t="shared" si="2"/>
        <v>2</v>
      </c>
      <c r="F11" s="92">
        <v>9</v>
      </c>
      <c r="G11" s="92">
        <f t="shared" si="1"/>
        <v>18</v>
      </c>
    </row>
    <row r="12" spans="1:7" x14ac:dyDescent="0.3">
      <c r="A12" s="167" t="s">
        <v>177</v>
      </c>
      <c r="B12" s="87" t="s">
        <v>178</v>
      </c>
      <c r="C12" s="87">
        <v>2</v>
      </c>
      <c r="D12" s="87">
        <v>1</v>
      </c>
      <c r="E12" s="87">
        <f t="shared" si="2"/>
        <v>2</v>
      </c>
      <c r="F12" s="87">
        <v>10</v>
      </c>
      <c r="G12" s="87">
        <f t="shared" si="1"/>
        <v>20</v>
      </c>
    </row>
    <row r="13" spans="1:7" x14ac:dyDescent="0.3">
      <c r="A13" s="167"/>
      <c r="B13" s="92" t="s">
        <v>179</v>
      </c>
      <c r="C13" s="92">
        <v>2</v>
      </c>
      <c r="D13" s="92">
        <v>1</v>
      </c>
      <c r="E13" s="92">
        <f t="shared" si="2"/>
        <v>2</v>
      </c>
      <c r="F13" s="92">
        <v>10</v>
      </c>
      <c r="G13" s="92">
        <f t="shared" si="1"/>
        <v>20</v>
      </c>
    </row>
    <row r="14" spans="1:7" x14ac:dyDescent="0.3">
      <c r="A14" s="88" t="s">
        <v>180</v>
      </c>
      <c r="B14" s="87"/>
      <c r="C14" s="87">
        <v>2</v>
      </c>
      <c r="D14" s="87">
        <v>1</v>
      </c>
      <c r="E14" s="87">
        <f t="shared" si="2"/>
        <v>2</v>
      </c>
      <c r="F14" s="87">
        <v>9</v>
      </c>
      <c r="G14" s="87">
        <f t="shared" si="1"/>
        <v>18</v>
      </c>
    </row>
    <row r="15" spans="1:7" x14ac:dyDescent="0.3">
      <c r="A15" s="88" t="s">
        <v>181</v>
      </c>
      <c r="B15" s="92"/>
      <c r="C15" s="92">
        <v>3</v>
      </c>
      <c r="D15" s="92">
        <v>1</v>
      </c>
      <c r="E15" s="92">
        <f t="shared" si="2"/>
        <v>3</v>
      </c>
      <c r="F15" s="92">
        <v>8</v>
      </c>
      <c r="G15" s="92">
        <f t="shared" si="1"/>
        <v>24</v>
      </c>
    </row>
    <row r="16" spans="1:7" x14ac:dyDescent="0.3">
      <c r="A16" s="165" t="s">
        <v>182</v>
      </c>
      <c r="B16" s="165"/>
      <c r="C16" s="165"/>
      <c r="D16" s="165"/>
      <c r="E16" s="165"/>
      <c r="F16" s="165"/>
      <c r="G16" s="87">
        <f>SUM(G2:G15)</f>
        <v>496</v>
      </c>
    </row>
    <row r="17" spans="1:6" x14ac:dyDescent="0.3">
      <c r="E17">
        <f>SUM(E2:E15)</f>
        <v>52</v>
      </c>
    </row>
    <row r="18" spans="1:6" x14ac:dyDescent="0.3">
      <c r="A18" s="5" t="s">
        <v>190</v>
      </c>
      <c r="B18" s="5" t="s">
        <v>192</v>
      </c>
      <c r="C18" s="5" t="s">
        <v>193</v>
      </c>
      <c r="D18" s="5" t="s">
        <v>194</v>
      </c>
      <c r="E18" s="5" t="s">
        <v>195</v>
      </c>
      <c r="F18" s="5" t="s">
        <v>196</v>
      </c>
    </row>
    <row r="19" spans="1:6" x14ac:dyDescent="0.3">
      <c r="A19" s="6" t="s">
        <v>191</v>
      </c>
      <c r="B19" s="6">
        <v>200</v>
      </c>
      <c r="C19" s="6">
        <f>E17</f>
        <v>52</v>
      </c>
      <c r="D19" s="6">
        <f>B19*C19*300/1000</f>
        <v>3120</v>
      </c>
      <c r="E19" s="6">
        <v>2.5299999999999998</v>
      </c>
      <c r="F19" s="6">
        <f>E19*D19*0.0001</f>
        <v>0.78935999999999995</v>
      </c>
    </row>
    <row r="21" spans="1:6" x14ac:dyDescent="0.3">
      <c r="B21" s="11" t="s">
        <v>374</v>
      </c>
      <c r="C21" s="11" t="s">
        <v>376</v>
      </c>
      <c r="D21" s="11" t="s">
        <v>375</v>
      </c>
      <c r="E21" s="11" t="s">
        <v>377</v>
      </c>
    </row>
    <row r="22" spans="1:6" x14ac:dyDescent="0.3">
      <c r="B22" s="13">
        <v>1</v>
      </c>
      <c r="C22" s="13" t="s">
        <v>378</v>
      </c>
      <c r="D22" s="13">
        <v>14</v>
      </c>
      <c r="E22" s="13">
        <f>D22*0.01*G16</f>
        <v>69.440000000000012</v>
      </c>
    </row>
    <row r="23" spans="1:6" x14ac:dyDescent="0.3">
      <c r="B23" s="12">
        <v>2</v>
      </c>
      <c r="C23" s="12" t="s">
        <v>379</v>
      </c>
      <c r="D23" s="12">
        <v>2</v>
      </c>
      <c r="E23" s="12">
        <f>D23*0.01*G16</f>
        <v>9.92</v>
      </c>
    </row>
    <row r="24" spans="1:6" x14ac:dyDescent="0.3">
      <c r="B24" s="13">
        <v>3</v>
      </c>
      <c r="C24" s="13" t="s">
        <v>380</v>
      </c>
      <c r="D24" s="13">
        <v>11.5</v>
      </c>
      <c r="E24" s="13">
        <f>D24*0.01*G16</f>
        <v>57.04</v>
      </c>
    </row>
    <row r="25" spans="1:6" x14ac:dyDescent="0.3">
      <c r="B25" s="12">
        <v>4</v>
      </c>
      <c r="C25" s="12" t="s">
        <v>381</v>
      </c>
      <c r="D25" s="12">
        <v>1.2</v>
      </c>
      <c r="E25" s="12">
        <f>D25*0.01*G16</f>
        <v>5.952</v>
      </c>
    </row>
    <row r="26" spans="1:6" x14ac:dyDescent="0.3">
      <c r="B26" s="164" t="s">
        <v>382</v>
      </c>
      <c r="C26" s="164"/>
      <c r="D26" s="164"/>
      <c r="E26" s="13">
        <f>SUM(E22:E25,G16)</f>
        <v>638.35199999999998</v>
      </c>
    </row>
  </sheetData>
  <mergeCells count="7">
    <mergeCell ref="A16:F16"/>
    <mergeCell ref="B26:D26"/>
    <mergeCell ref="A1:B1"/>
    <mergeCell ref="A2:A3"/>
    <mergeCell ref="A6:A7"/>
    <mergeCell ref="A8:A9"/>
    <mergeCell ref="A12:A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9D86-511B-4F00-8CB3-6053C567B469}">
  <dimension ref="A1:K164"/>
  <sheetViews>
    <sheetView zoomScale="77" workbookViewId="0">
      <selection activeCell="A5" sqref="A5"/>
    </sheetView>
  </sheetViews>
  <sheetFormatPr defaultRowHeight="14" x14ac:dyDescent="0.3"/>
  <cols>
    <col min="1" max="1" width="11.58203125" customWidth="1"/>
    <col min="2" max="2" width="23.08203125" customWidth="1"/>
    <col min="3" max="3" width="33" customWidth="1"/>
    <col min="4" max="4" width="32" style="15" customWidth="1"/>
    <col min="5" max="5" width="12.25" style="15" customWidth="1"/>
    <col min="6" max="6" width="12" style="15" customWidth="1"/>
    <col min="7" max="7" width="12.33203125" style="15" customWidth="1"/>
    <col min="8" max="8" width="11.58203125" customWidth="1"/>
    <col min="9" max="9" width="12.4140625" customWidth="1"/>
    <col min="10" max="10" width="24.33203125" customWidth="1"/>
    <col min="11" max="11" width="10.83203125" customWidth="1"/>
  </cols>
  <sheetData>
    <row r="1" spans="1:11" ht="15.5" x14ac:dyDescent="0.3">
      <c r="A1" s="40" t="s">
        <v>441</v>
      </c>
      <c r="I1" s="172" t="s">
        <v>202</v>
      </c>
      <c r="J1" s="172"/>
      <c r="K1" s="172"/>
    </row>
    <row r="2" spans="1:11" x14ac:dyDescent="0.3">
      <c r="A2" s="110" t="s">
        <v>442</v>
      </c>
      <c r="B2" s="110" t="s">
        <v>7</v>
      </c>
      <c r="C2" s="110" t="s">
        <v>579</v>
      </c>
      <c r="D2" s="110" t="s">
        <v>580</v>
      </c>
      <c r="E2" s="110" t="s">
        <v>553</v>
      </c>
      <c r="F2" s="110" t="s">
        <v>554</v>
      </c>
      <c r="G2" s="106"/>
      <c r="H2" s="106"/>
      <c r="I2" s="172"/>
      <c r="J2" s="172"/>
      <c r="K2" s="172"/>
    </row>
    <row r="3" spans="1:11" x14ac:dyDescent="0.3">
      <c r="A3" s="113" t="s">
        <v>568</v>
      </c>
      <c r="B3" s="113" t="s">
        <v>569</v>
      </c>
      <c r="C3" s="113" t="s">
        <v>565</v>
      </c>
      <c r="D3" s="113">
        <v>25.118400000000001</v>
      </c>
      <c r="E3" s="113">
        <v>1</v>
      </c>
      <c r="F3" s="113">
        <f>48000*0.0001*D3</f>
        <v>120.56832</v>
      </c>
      <c r="G3" s="106"/>
      <c r="H3" s="106"/>
      <c r="I3" s="8" t="s">
        <v>198</v>
      </c>
      <c r="J3" s="8" t="s">
        <v>199</v>
      </c>
      <c r="K3" s="8" t="s">
        <v>201</v>
      </c>
    </row>
    <row r="4" spans="1:11" x14ac:dyDescent="0.3">
      <c r="A4" s="114" t="s">
        <v>570</v>
      </c>
      <c r="B4" s="114" t="s">
        <v>571</v>
      </c>
      <c r="C4" s="126" t="s">
        <v>565</v>
      </c>
      <c r="D4" s="114">
        <v>14.566800000000001</v>
      </c>
      <c r="E4" s="114">
        <v>1</v>
      </c>
      <c r="F4" s="114">
        <f t="shared" ref="F4:F9" si="0">48000*0.0001*D4</f>
        <v>69.920640000000006</v>
      </c>
      <c r="G4" s="106"/>
      <c r="H4" s="106"/>
      <c r="I4" s="10">
        <v>1</v>
      </c>
      <c r="J4" s="10" t="s">
        <v>204</v>
      </c>
      <c r="K4" s="20">
        <f>F10</f>
        <v>435.62927999999999</v>
      </c>
    </row>
    <row r="5" spans="1:11" x14ac:dyDescent="0.3">
      <c r="A5" s="113" t="s">
        <v>443</v>
      </c>
      <c r="B5" s="113" t="s">
        <v>572</v>
      </c>
      <c r="C5" s="113" t="s">
        <v>565</v>
      </c>
      <c r="D5" s="113">
        <v>18.6235</v>
      </c>
      <c r="E5" s="113">
        <v>1</v>
      </c>
      <c r="F5" s="113">
        <f t="shared" si="0"/>
        <v>89.392799999999994</v>
      </c>
      <c r="G5" s="106"/>
      <c r="H5" s="106"/>
      <c r="I5" s="9">
        <v>2</v>
      </c>
      <c r="J5" s="9" t="s">
        <v>206</v>
      </c>
      <c r="K5" s="21">
        <f>F22</f>
        <v>799.68</v>
      </c>
    </row>
    <row r="6" spans="1:11" x14ac:dyDescent="0.3">
      <c r="A6" s="114" t="s">
        <v>444</v>
      </c>
      <c r="B6" s="114" t="s">
        <v>573</v>
      </c>
      <c r="C6" s="126" t="s">
        <v>565</v>
      </c>
      <c r="D6" s="114">
        <v>5.9671000000000003</v>
      </c>
      <c r="E6" s="114">
        <v>1</v>
      </c>
      <c r="F6" s="114">
        <f t="shared" si="0"/>
        <v>28.64208</v>
      </c>
      <c r="G6" s="106"/>
      <c r="H6" s="106"/>
      <c r="I6" s="10">
        <v>3</v>
      </c>
      <c r="J6" s="10" t="s">
        <v>208</v>
      </c>
      <c r="K6" s="20">
        <f>G33</f>
        <v>1081.9772480000001</v>
      </c>
    </row>
    <row r="7" spans="1:11" x14ac:dyDescent="0.3">
      <c r="A7" s="113" t="s">
        <v>445</v>
      </c>
      <c r="B7" s="113" t="s">
        <v>574</v>
      </c>
      <c r="C7" s="113" t="s">
        <v>565</v>
      </c>
      <c r="D7" s="113">
        <v>9.5487000000000002</v>
      </c>
      <c r="E7" s="113">
        <v>1</v>
      </c>
      <c r="F7" s="113">
        <f t="shared" si="0"/>
        <v>45.833759999999998</v>
      </c>
      <c r="G7" s="106"/>
      <c r="H7" s="106"/>
      <c r="I7" s="9">
        <v>4</v>
      </c>
      <c r="J7" s="9" t="s">
        <v>210</v>
      </c>
      <c r="K7" s="21">
        <f>I62</f>
        <v>420.36242700216133</v>
      </c>
    </row>
    <row r="8" spans="1:11" x14ac:dyDescent="0.3">
      <c r="A8" s="114" t="s">
        <v>575</v>
      </c>
      <c r="B8" s="114" t="s">
        <v>576</v>
      </c>
      <c r="C8" s="126" t="s">
        <v>565</v>
      </c>
      <c r="D8" s="114">
        <v>13.236700000000001</v>
      </c>
      <c r="E8" s="114">
        <v>1</v>
      </c>
      <c r="F8" s="114">
        <f t="shared" si="0"/>
        <v>63.536160000000002</v>
      </c>
      <c r="I8" s="10">
        <v>5</v>
      </c>
      <c r="J8" s="10" t="s">
        <v>212</v>
      </c>
      <c r="K8" s="20">
        <f>H72</f>
        <v>542.40000000000009</v>
      </c>
    </row>
    <row r="9" spans="1:11" x14ac:dyDescent="0.3">
      <c r="A9" s="113" t="s">
        <v>577</v>
      </c>
      <c r="B9" s="113" t="s">
        <v>578</v>
      </c>
      <c r="C9" s="113" t="s">
        <v>565</v>
      </c>
      <c r="D9" s="113">
        <v>3.6949000000000001</v>
      </c>
      <c r="E9" s="113">
        <v>1</v>
      </c>
      <c r="F9" s="113">
        <f t="shared" si="0"/>
        <v>17.735520000000001</v>
      </c>
      <c r="I9" s="9">
        <v>6</v>
      </c>
      <c r="J9" s="9" t="s">
        <v>213</v>
      </c>
      <c r="K9" s="21">
        <f>J79</f>
        <v>968.91000000000008</v>
      </c>
    </row>
    <row r="10" spans="1:11" x14ac:dyDescent="0.3">
      <c r="A10" s="171" t="s">
        <v>555</v>
      </c>
      <c r="B10" s="162"/>
      <c r="C10" s="162"/>
      <c r="D10" s="162"/>
      <c r="E10" s="162"/>
      <c r="F10" s="114">
        <f>SUM(F3:F9)</f>
        <v>435.62927999999999</v>
      </c>
      <c r="I10" s="104">
        <v>7</v>
      </c>
      <c r="J10" s="104" t="s">
        <v>683</v>
      </c>
      <c r="K10" s="20">
        <f>G103</f>
        <v>1080.3380000000004</v>
      </c>
    </row>
    <row r="11" spans="1:11" x14ac:dyDescent="0.3">
      <c r="A11" s="106"/>
      <c r="B11" s="106"/>
      <c r="C11" s="106"/>
      <c r="D11" s="106"/>
      <c r="E11" s="106"/>
      <c r="F11" s="106"/>
      <c r="I11" s="105">
        <v>8</v>
      </c>
      <c r="J11" s="105" t="s">
        <v>215</v>
      </c>
      <c r="K11" s="21">
        <f>H136</f>
        <v>19.060000000000006</v>
      </c>
    </row>
    <row r="12" spans="1:11" x14ac:dyDescent="0.3">
      <c r="A12" s="127"/>
      <c r="B12" s="127"/>
      <c r="C12" s="127"/>
      <c r="D12" s="127"/>
      <c r="E12" s="127"/>
      <c r="F12" s="106"/>
      <c r="I12" s="173" t="s">
        <v>216</v>
      </c>
      <c r="J12" s="174"/>
      <c r="K12" s="21">
        <f>SUM(K4:K11)</f>
        <v>5348.356955002163</v>
      </c>
    </row>
    <row r="13" spans="1:11" x14ac:dyDescent="0.3">
      <c r="A13" s="106"/>
      <c r="B13" s="106"/>
      <c r="C13" s="106"/>
      <c r="D13" s="106"/>
      <c r="E13" s="106"/>
      <c r="F13" s="106"/>
      <c r="I13" s="106"/>
      <c r="J13" s="106"/>
      <c r="K13" s="106"/>
    </row>
    <row r="14" spans="1:11" ht="15.5" x14ac:dyDescent="0.3">
      <c r="A14" s="40" t="s">
        <v>450</v>
      </c>
      <c r="I14" s="106"/>
      <c r="J14" s="106"/>
      <c r="K14" s="106"/>
    </row>
    <row r="15" spans="1:11" s="106" customFormat="1" x14ac:dyDescent="0.3">
      <c r="A15" s="110" t="s">
        <v>544</v>
      </c>
      <c r="B15" s="110" t="s">
        <v>227</v>
      </c>
      <c r="C15" s="110" t="s">
        <v>447</v>
      </c>
      <c r="D15" s="110" t="s">
        <v>448</v>
      </c>
      <c r="E15" s="110" t="s">
        <v>553</v>
      </c>
      <c r="F15" s="110" t="s">
        <v>554</v>
      </c>
    </row>
    <row r="16" spans="1:11" s="106" customFormat="1" x14ac:dyDescent="0.3">
      <c r="A16" s="113" t="s">
        <v>451</v>
      </c>
      <c r="B16" s="113" t="s">
        <v>545</v>
      </c>
      <c r="C16" s="113" t="s">
        <v>446</v>
      </c>
      <c r="D16" s="113">
        <v>13.51</v>
      </c>
      <c r="E16" s="113">
        <v>1</v>
      </c>
      <c r="F16" s="113">
        <f t="shared" ref="F16:F21" si="1">D16*48000*0.0001</f>
        <v>64.847999999999999</v>
      </c>
    </row>
    <row r="17" spans="1:8" s="106" customFormat="1" x14ac:dyDescent="0.3">
      <c r="A17" s="114" t="s">
        <v>452</v>
      </c>
      <c r="B17" s="114" t="s">
        <v>546</v>
      </c>
      <c r="C17" s="114" t="s">
        <v>446</v>
      </c>
      <c r="D17" s="114">
        <v>41.11</v>
      </c>
      <c r="E17" s="114">
        <v>1</v>
      </c>
      <c r="F17" s="114">
        <f t="shared" si="1"/>
        <v>197.328</v>
      </c>
    </row>
    <row r="18" spans="1:8" x14ac:dyDescent="0.3">
      <c r="A18" s="113" t="s">
        <v>547</v>
      </c>
      <c r="B18" s="113" t="s">
        <v>548</v>
      </c>
      <c r="C18" s="113" t="s">
        <v>446</v>
      </c>
      <c r="D18" s="113">
        <v>41.11</v>
      </c>
      <c r="E18" s="113">
        <v>1</v>
      </c>
      <c r="F18" s="113">
        <f t="shared" si="1"/>
        <v>197.328</v>
      </c>
      <c r="G18" s="106"/>
      <c r="H18" s="106"/>
    </row>
    <row r="19" spans="1:8" x14ac:dyDescent="0.3">
      <c r="A19" s="114" t="s">
        <v>549</v>
      </c>
      <c r="B19" s="114" t="s">
        <v>543</v>
      </c>
      <c r="C19" s="114" t="s">
        <v>446</v>
      </c>
      <c r="D19" s="114">
        <v>41.11</v>
      </c>
      <c r="E19" s="114">
        <v>1</v>
      </c>
      <c r="F19" s="114">
        <f t="shared" si="1"/>
        <v>197.328</v>
      </c>
      <c r="G19" s="106"/>
      <c r="H19" s="106"/>
    </row>
    <row r="20" spans="1:8" x14ac:dyDescent="0.3">
      <c r="A20" s="113" t="s">
        <v>550</v>
      </c>
      <c r="B20" s="113" t="s">
        <v>551</v>
      </c>
      <c r="C20" s="113" t="s">
        <v>446</v>
      </c>
      <c r="D20" s="113">
        <v>27.53</v>
      </c>
      <c r="E20" s="113">
        <v>1</v>
      </c>
      <c r="F20" s="113">
        <f t="shared" si="1"/>
        <v>132.14400000000001</v>
      </c>
      <c r="G20" s="106"/>
      <c r="H20" s="106"/>
    </row>
    <row r="21" spans="1:8" x14ac:dyDescent="0.3">
      <c r="A21" s="114" t="s">
        <v>453</v>
      </c>
      <c r="B21" s="114" t="s">
        <v>552</v>
      </c>
      <c r="C21" s="114" t="s">
        <v>446</v>
      </c>
      <c r="D21" s="114">
        <v>2.23</v>
      </c>
      <c r="E21" s="114">
        <v>1</v>
      </c>
      <c r="F21" s="114">
        <f t="shared" si="1"/>
        <v>10.704000000000001</v>
      </c>
      <c r="G21" s="106"/>
      <c r="H21" s="106"/>
    </row>
    <row r="22" spans="1:8" s="106" customFormat="1" x14ac:dyDescent="0.3">
      <c r="A22" s="158" t="s">
        <v>555</v>
      </c>
      <c r="B22" s="158"/>
      <c r="C22" s="158"/>
      <c r="D22" s="158"/>
      <c r="E22" s="158"/>
      <c r="F22" s="113">
        <f>SUM(F16:F21)</f>
        <v>799.68</v>
      </c>
    </row>
    <row r="23" spans="1:8" x14ac:dyDescent="0.3">
      <c r="A23" s="106"/>
      <c r="B23" s="127"/>
      <c r="C23" s="127"/>
      <c r="D23" s="127"/>
      <c r="E23" s="127"/>
      <c r="F23" s="127"/>
      <c r="G23" s="106"/>
      <c r="H23" s="106"/>
    </row>
    <row r="24" spans="1:8" s="106" customFormat="1" x14ac:dyDescent="0.3">
      <c r="G24" s="15"/>
      <c r="H24"/>
    </row>
    <row r="25" spans="1:8" x14ac:dyDescent="0.3">
      <c r="A25" s="127"/>
      <c r="B25" s="127"/>
      <c r="C25" s="127"/>
      <c r="D25" s="127"/>
      <c r="E25" s="127"/>
      <c r="F25" s="106"/>
    </row>
    <row r="26" spans="1:8" s="106" customFormat="1" x14ac:dyDescent="0.3">
      <c r="A26"/>
      <c r="B26"/>
      <c r="C26"/>
      <c r="D26" s="15"/>
      <c r="E26" s="15"/>
      <c r="F26" s="15"/>
      <c r="G26" s="15"/>
      <c r="H26"/>
    </row>
    <row r="27" spans="1:8" s="106" customFormat="1" ht="15.5" x14ac:dyDescent="0.3">
      <c r="A27" s="40" t="s">
        <v>454</v>
      </c>
      <c r="B27"/>
      <c r="C27"/>
      <c r="D27" s="15"/>
      <c r="E27" s="15"/>
      <c r="F27" s="15"/>
      <c r="G27" s="15"/>
      <c r="H27"/>
    </row>
    <row r="28" spans="1:8" x14ac:dyDescent="0.3">
      <c r="A28" s="110" t="s">
        <v>544</v>
      </c>
      <c r="B28" s="110" t="s">
        <v>227</v>
      </c>
      <c r="C28" s="110" t="s">
        <v>556</v>
      </c>
      <c r="D28" s="110" t="s">
        <v>447</v>
      </c>
      <c r="E28" s="110" t="s">
        <v>566</v>
      </c>
      <c r="F28" s="110" t="s">
        <v>449</v>
      </c>
      <c r="G28" s="110" t="s">
        <v>567</v>
      </c>
      <c r="H28" s="106"/>
    </row>
    <row r="29" spans="1:8" x14ac:dyDescent="0.3">
      <c r="A29" s="129" t="s">
        <v>557</v>
      </c>
      <c r="B29" s="129" t="s">
        <v>558</v>
      </c>
      <c r="C29" s="129" t="s">
        <v>456</v>
      </c>
      <c r="D29" s="113" t="s">
        <v>446</v>
      </c>
      <c r="E29" s="113">
        <v>2207.98</v>
      </c>
      <c r="F29" s="113">
        <v>1</v>
      </c>
      <c r="G29" s="124">
        <v>10.598000000000001</v>
      </c>
    </row>
    <row r="30" spans="1:8" x14ac:dyDescent="0.3">
      <c r="A30" s="114" t="s">
        <v>559</v>
      </c>
      <c r="B30" s="114" t="s">
        <v>560</v>
      </c>
      <c r="C30" s="114" t="s">
        <v>456</v>
      </c>
      <c r="D30" s="114" t="s">
        <v>446</v>
      </c>
      <c r="E30" s="114">
        <v>284.95</v>
      </c>
      <c r="F30" s="114">
        <v>1</v>
      </c>
      <c r="G30" s="122">
        <v>1.3677600000000001</v>
      </c>
      <c r="H30" s="106"/>
    </row>
    <row r="31" spans="1:8" x14ac:dyDescent="0.3">
      <c r="A31" s="129" t="s">
        <v>561</v>
      </c>
      <c r="B31" s="129" t="s">
        <v>562</v>
      </c>
      <c r="C31" s="129" t="s">
        <v>456</v>
      </c>
      <c r="D31" s="113" t="s">
        <v>446</v>
      </c>
      <c r="E31" s="113">
        <v>221533.4</v>
      </c>
      <c r="F31" s="113">
        <v>1</v>
      </c>
      <c r="G31" s="124">
        <v>1063.36032</v>
      </c>
    </row>
    <row r="32" spans="1:8" x14ac:dyDescent="0.3">
      <c r="A32" s="114" t="s">
        <v>563</v>
      </c>
      <c r="B32" s="114" t="s">
        <v>564</v>
      </c>
      <c r="C32" s="114" t="s">
        <v>456</v>
      </c>
      <c r="D32" s="114" t="s">
        <v>446</v>
      </c>
      <c r="E32" s="114">
        <v>1385.66</v>
      </c>
      <c r="F32" s="114">
        <v>1</v>
      </c>
      <c r="G32" s="122">
        <v>6.651168000000002</v>
      </c>
      <c r="H32" s="106"/>
    </row>
    <row r="33" spans="1:11" x14ac:dyDescent="0.3">
      <c r="A33" s="158" t="s">
        <v>555</v>
      </c>
      <c r="B33" s="158"/>
      <c r="C33" s="158"/>
      <c r="D33" s="158"/>
      <c r="E33" s="158"/>
      <c r="F33" s="158"/>
      <c r="G33" s="124">
        <f>SUM(G29:G32)</f>
        <v>1081.9772480000001</v>
      </c>
      <c r="H33" s="106"/>
    </row>
    <row r="34" spans="1:11" x14ac:dyDescent="0.3">
      <c r="A34" s="106"/>
      <c r="B34" s="106"/>
      <c r="C34" s="106"/>
      <c r="D34" s="106"/>
      <c r="E34" s="106"/>
      <c r="F34" s="106"/>
    </row>
    <row r="35" spans="1:11" x14ac:dyDescent="0.3">
      <c r="A35" s="106"/>
      <c r="B35" s="106"/>
      <c r="C35" s="106"/>
      <c r="D35" s="106"/>
      <c r="E35" s="106"/>
      <c r="F35" s="106"/>
    </row>
    <row r="36" spans="1:11" x14ac:dyDescent="0.3">
      <c r="A36" s="127"/>
      <c r="B36" s="127"/>
      <c r="C36" s="127"/>
      <c r="D36" s="127"/>
      <c r="E36" s="127"/>
      <c r="F36" s="106"/>
    </row>
    <row r="38" spans="1:11" ht="15.5" x14ac:dyDescent="0.3">
      <c r="A38" s="40" t="s">
        <v>459</v>
      </c>
    </row>
    <row r="39" spans="1:11" x14ac:dyDescent="0.3">
      <c r="A39" s="110" t="s">
        <v>544</v>
      </c>
      <c r="B39" s="110" t="s">
        <v>581</v>
      </c>
      <c r="C39" s="110" t="s">
        <v>626</v>
      </c>
      <c r="D39" s="110" t="s">
        <v>644</v>
      </c>
      <c r="E39" s="110" t="s">
        <v>645</v>
      </c>
      <c r="F39" s="110" t="s">
        <v>646</v>
      </c>
      <c r="G39" s="110" t="s">
        <v>647</v>
      </c>
      <c r="H39" s="110" t="s">
        <v>449</v>
      </c>
      <c r="I39" s="110" t="s">
        <v>651</v>
      </c>
    </row>
    <row r="40" spans="1:11" s="106" customFormat="1" x14ac:dyDescent="0.3">
      <c r="A40" s="113" t="s">
        <v>460</v>
      </c>
      <c r="B40" s="113" t="s">
        <v>582</v>
      </c>
      <c r="C40" s="113" t="s">
        <v>805</v>
      </c>
      <c r="D40" s="113">
        <v>55.8</v>
      </c>
      <c r="E40" s="113">
        <v>269</v>
      </c>
      <c r="F40" s="113" t="s">
        <v>652</v>
      </c>
      <c r="G40" s="113" t="s">
        <v>457</v>
      </c>
      <c r="H40" s="113">
        <v>1</v>
      </c>
      <c r="I40" s="113">
        <f>7.85*0.0001*22000*(PI()*0.025*K40*E40*0.0025+PI()*J40*K40*0.025)</f>
        <v>10.355981366210747</v>
      </c>
      <c r="J40" s="106">
        <v>0.6</v>
      </c>
      <c r="K40" s="106">
        <v>6</v>
      </c>
    </row>
    <row r="41" spans="1:11" s="106" customFormat="1" x14ac:dyDescent="0.3">
      <c r="A41" s="114" t="s">
        <v>461</v>
      </c>
      <c r="B41" s="114" t="s">
        <v>583</v>
      </c>
      <c r="C41" s="114" t="s">
        <v>621</v>
      </c>
      <c r="D41" s="114">
        <v>90.2</v>
      </c>
      <c r="E41" s="114">
        <v>256</v>
      </c>
      <c r="F41" s="114" t="s">
        <v>648</v>
      </c>
      <c r="G41" s="114" t="s">
        <v>457</v>
      </c>
      <c r="H41" s="114">
        <v>1</v>
      </c>
      <c r="I41" s="114">
        <f>7.85*0.0001*22000*(PI()*0.019*6*256*0.002+PI()*0.5*6*0.025)</f>
        <v>7.2359215342438503</v>
      </c>
    </row>
    <row r="42" spans="1:11" s="106" customFormat="1" x14ac:dyDescent="0.3">
      <c r="A42" s="113" t="s">
        <v>462</v>
      </c>
      <c r="B42" s="113" t="s">
        <v>584</v>
      </c>
      <c r="C42" s="113" t="s">
        <v>622</v>
      </c>
      <c r="D42" s="113">
        <v>96.8</v>
      </c>
      <c r="E42" s="113">
        <v>275</v>
      </c>
      <c r="F42" s="113" t="s">
        <v>648</v>
      </c>
      <c r="G42" s="113" t="s">
        <v>457</v>
      </c>
      <c r="H42" s="113">
        <v>1</v>
      </c>
      <c r="I42" s="113">
        <f>7.85*0.0001*22000*(PI()*0.019*K42*E42*0.002+PI()*J42*K42*0.025)</f>
        <v>7.4709555160561623</v>
      </c>
      <c r="J42" s="106">
        <v>0.5</v>
      </c>
      <c r="K42" s="106">
        <v>6</v>
      </c>
    </row>
    <row r="43" spans="1:11" s="106" customFormat="1" x14ac:dyDescent="0.3">
      <c r="A43" s="114" t="s">
        <v>585</v>
      </c>
      <c r="B43" s="114" t="s">
        <v>586</v>
      </c>
      <c r="C43" s="114" t="s">
        <v>623</v>
      </c>
      <c r="D43" s="114">
        <v>93.8</v>
      </c>
      <c r="E43" s="114">
        <v>542</v>
      </c>
      <c r="F43" s="114" t="s">
        <v>649</v>
      </c>
      <c r="G43" s="114" t="s">
        <v>457</v>
      </c>
      <c r="H43" s="114">
        <v>1</v>
      </c>
      <c r="I43" s="114">
        <f t="shared" ref="I43:I60" si="2">7.85*0.0001*22000*(PI()*0.019*K43*E43*0.002+PI()*J43*K43*0.025)</f>
        <v>6.2007303124112321</v>
      </c>
      <c r="J43" s="106">
        <v>0.7</v>
      </c>
      <c r="K43" s="106">
        <v>3</v>
      </c>
    </row>
    <row r="44" spans="1:11" s="106" customFormat="1" x14ac:dyDescent="0.3">
      <c r="A44" s="113" t="s">
        <v>587</v>
      </c>
      <c r="B44" s="113" t="s">
        <v>588</v>
      </c>
      <c r="C44" s="113" t="s">
        <v>624</v>
      </c>
      <c r="D44" s="113">
        <v>5.4</v>
      </c>
      <c r="E44" s="113">
        <v>65</v>
      </c>
      <c r="F44" s="113" t="s">
        <v>648</v>
      </c>
      <c r="G44" s="113" t="s">
        <v>457</v>
      </c>
      <c r="H44" s="113">
        <v>1</v>
      </c>
      <c r="I44" s="113">
        <f t="shared" si="2"/>
        <v>0.75645459174010921</v>
      </c>
      <c r="J44" s="106">
        <v>0.27300000000000002</v>
      </c>
      <c r="K44" s="106">
        <v>1.5</v>
      </c>
    </row>
    <row r="45" spans="1:11" s="106" customFormat="1" x14ac:dyDescent="0.3">
      <c r="A45" s="114" t="s">
        <v>589</v>
      </c>
      <c r="B45" s="114" t="s">
        <v>590</v>
      </c>
      <c r="C45" s="114" t="s">
        <v>627</v>
      </c>
      <c r="D45" s="114">
        <v>1687.2</v>
      </c>
      <c r="E45" s="114">
        <v>3176</v>
      </c>
      <c r="F45" s="114" t="s">
        <v>648</v>
      </c>
      <c r="G45" s="114" t="s">
        <v>457</v>
      </c>
      <c r="H45" s="114">
        <v>1</v>
      </c>
      <c r="I45" s="114">
        <f t="shared" si="2"/>
        <v>78.463588232943295</v>
      </c>
      <c r="J45" s="106">
        <v>1.6</v>
      </c>
      <c r="K45" s="106">
        <v>9</v>
      </c>
    </row>
    <row r="46" spans="1:11" x14ac:dyDescent="0.3">
      <c r="A46" s="113" t="s">
        <v>591</v>
      </c>
      <c r="B46" s="113" t="s">
        <v>592</v>
      </c>
      <c r="C46" s="113" t="s">
        <v>628</v>
      </c>
      <c r="D46" s="113">
        <v>557.6</v>
      </c>
      <c r="E46" s="113">
        <v>2123</v>
      </c>
      <c r="F46" s="113" t="s">
        <v>648</v>
      </c>
      <c r="G46" s="113" t="s">
        <v>457</v>
      </c>
      <c r="H46" s="113">
        <v>1</v>
      </c>
      <c r="I46" s="113">
        <f>7.85*0.0001*22000*(PI()*0.025*K46*E46*0.0025+PI()*J46*K46*0.025)</f>
        <v>40.330341970866897</v>
      </c>
      <c r="J46">
        <v>1.3</v>
      </c>
      <c r="K46">
        <v>4.5</v>
      </c>
    </row>
    <row r="47" spans="1:11" x14ac:dyDescent="0.3">
      <c r="A47" s="114" t="s">
        <v>593</v>
      </c>
      <c r="B47" s="114" t="s">
        <v>594</v>
      </c>
      <c r="C47" s="114" t="s">
        <v>629</v>
      </c>
      <c r="D47" s="114">
        <v>31.2</v>
      </c>
      <c r="E47" s="114">
        <v>275</v>
      </c>
      <c r="F47" s="114" t="s">
        <v>648</v>
      </c>
      <c r="G47" s="114" t="s">
        <v>457</v>
      </c>
      <c r="H47" s="114">
        <v>1</v>
      </c>
      <c r="I47" s="114">
        <f t="shared" si="2"/>
        <v>2.4903185053520538</v>
      </c>
      <c r="J47">
        <v>0.5</v>
      </c>
      <c r="K47">
        <v>2</v>
      </c>
    </row>
    <row r="48" spans="1:11" x14ac:dyDescent="0.3">
      <c r="A48" s="113" t="s">
        <v>595</v>
      </c>
      <c r="B48" s="113" t="s">
        <v>596</v>
      </c>
      <c r="C48" s="113" t="s">
        <v>630</v>
      </c>
      <c r="D48" s="130">
        <v>138</v>
      </c>
      <c r="E48" s="113">
        <v>797</v>
      </c>
      <c r="F48" s="113" t="s">
        <v>648</v>
      </c>
      <c r="G48" s="113" t="s">
        <v>457</v>
      </c>
      <c r="H48" s="113">
        <v>1</v>
      </c>
      <c r="I48" s="113">
        <f t="shared" si="2"/>
        <v>8.1848468209237506</v>
      </c>
      <c r="J48">
        <v>0.8</v>
      </c>
      <c r="K48">
        <v>3</v>
      </c>
    </row>
    <row r="49" spans="1:11" x14ac:dyDescent="0.3">
      <c r="A49" s="114" t="s">
        <v>597</v>
      </c>
      <c r="B49" s="114" t="s">
        <v>598</v>
      </c>
      <c r="C49" s="114" t="s">
        <v>631</v>
      </c>
      <c r="D49" s="131">
        <v>171</v>
      </c>
      <c r="E49" s="114">
        <v>988</v>
      </c>
      <c r="F49" s="114" t="s">
        <v>648</v>
      </c>
      <c r="G49" s="114" t="s">
        <v>457</v>
      </c>
      <c r="H49" s="114">
        <v>1</v>
      </c>
      <c r="I49" s="114">
        <f t="shared" si="2"/>
        <v>9.7731166232260609</v>
      </c>
      <c r="J49">
        <v>0.9</v>
      </c>
      <c r="K49">
        <v>3</v>
      </c>
    </row>
    <row r="50" spans="1:11" x14ac:dyDescent="0.3">
      <c r="A50" s="113" t="s">
        <v>599</v>
      </c>
      <c r="B50" s="113" t="s">
        <v>600</v>
      </c>
      <c r="C50" s="113" t="s">
        <v>632</v>
      </c>
      <c r="D50" s="113">
        <v>355.3</v>
      </c>
      <c r="E50" s="113">
        <v>1009</v>
      </c>
      <c r="F50" s="113" t="s">
        <v>648</v>
      </c>
      <c r="G50" s="113" t="s">
        <v>457</v>
      </c>
      <c r="H50" s="113">
        <v>1</v>
      </c>
      <c r="I50" s="113">
        <f t="shared" si="2"/>
        <v>19.80600764740257</v>
      </c>
      <c r="J50">
        <v>0.9</v>
      </c>
      <c r="K50">
        <v>6</v>
      </c>
    </row>
    <row r="51" spans="1:11" x14ac:dyDescent="0.3">
      <c r="A51" s="114" t="s">
        <v>601</v>
      </c>
      <c r="B51" s="114" t="s">
        <v>602</v>
      </c>
      <c r="C51" s="114" t="s">
        <v>633</v>
      </c>
      <c r="D51" s="114">
        <v>109.3</v>
      </c>
      <c r="E51" s="114">
        <v>416</v>
      </c>
      <c r="F51" s="114" t="s">
        <v>648</v>
      </c>
      <c r="G51" s="114" t="s">
        <v>457</v>
      </c>
      <c r="H51" s="114">
        <v>1</v>
      </c>
      <c r="I51" s="114">
        <f t="shared" si="2"/>
        <v>7.5217384816554977</v>
      </c>
      <c r="J51">
        <v>0.6</v>
      </c>
      <c r="K51">
        <v>4.5</v>
      </c>
    </row>
    <row r="52" spans="1:11" x14ac:dyDescent="0.3">
      <c r="A52" s="113" t="s">
        <v>603</v>
      </c>
      <c r="B52" s="113" t="s">
        <v>604</v>
      </c>
      <c r="C52" s="113" t="s">
        <v>634</v>
      </c>
      <c r="D52" s="130">
        <v>1556</v>
      </c>
      <c r="E52" s="113">
        <v>2929</v>
      </c>
      <c r="F52" s="113" t="s">
        <v>648</v>
      </c>
      <c r="G52" s="113" t="s">
        <v>457</v>
      </c>
      <c r="H52" s="113">
        <v>1</v>
      </c>
      <c r="I52" s="113">
        <f t="shared" si="2"/>
        <v>72.659681222234582</v>
      </c>
      <c r="J52">
        <v>1.5</v>
      </c>
      <c r="K52">
        <v>9</v>
      </c>
    </row>
    <row r="53" spans="1:11" x14ac:dyDescent="0.3">
      <c r="A53" s="114" t="s">
        <v>605</v>
      </c>
      <c r="B53" s="114" t="s">
        <v>606</v>
      </c>
      <c r="C53" s="114" t="s">
        <v>635</v>
      </c>
      <c r="D53" s="114">
        <v>67.2</v>
      </c>
      <c r="E53" s="114">
        <v>256</v>
      </c>
      <c r="F53" s="114" t="s">
        <v>648</v>
      </c>
      <c r="G53" s="114" t="s">
        <v>457</v>
      </c>
      <c r="H53" s="114">
        <v>1</v>
      </c>
      <c r="I53" s="114">
        <f t="shared" si="2"/>
        <v>5.4269411506828877</v>
      </c>
      <c r="J53">
        <v>0.5</v>
      </c>
      <c r="K53">
        <v>4.5</v>
      </c>
    </row>
    <row r="54" spans="1:11" x14ac:dyDescent="0.3">
      <c r="A54" s="113" t="s">
        <v>607</v>
      </c>
      <c r="B54" s="113" t="s">
        <v>608</v>
      </c>
      <c r="C54" s="113" t="s">
        <v>636</v>
      </c>
      <c r="D54" s="113">
        <v>18.600000000000001</v>
      </c>
      <c r="E54" s="113">
        <v>164</v>
      </c>
      <c r="F54" s="113" t="s">
        <v>648</v>
      </c>
      <c r="G54" s="113" t="s">
        <v>457</v>
      </c>
      <c r="H54" s="113">
        <v>1</v>
      </c>
      <c r="I54" s="113">
        <f t="shared" si="2"/>
        <v>1.7613442256590215</v>
      </c>
      <c r="J54">
        <v>0.4</v>
      </c>
      <c r="K54">
        <v>2</v>
      </c>
    </row>
    <row r="55" spans="1:11" x14ac:dyDescent="0.3">
      <c r="A55" s="114" t="s">
        <v>609</v>
      </c>
      <c r="B55" s="114" t="s">
        <v>610</v>
      </c>
      <c r="C55" s="114" t="s">
        <v>637</v>
      </c>
      <c r="D55" s="114">
        <v>189.8</v>
      </c>
      <c r="E55" s="114">
        <v>722</v>
      </c>
      <c r="F55" s="114" t="s">
        <v>648</v>
      </c>
      <c r="G55" s="114" t="s">
        <v>457</v>
      </c>
      <c r="H55" s="114">
        <v>1</v>
      </c>
      <c r="I55" s="114">
        <f t="shared" si="2"/>
        <v>7.7209639620836619</v>
      </c>
      <c r="J55">
        <v>0.8</v>
      </c>
      <c r="K55">
        <v>3</v>
      </c>
    </row>
    <row r="56" spans="1:11" x14ac:dyDescent="0.3">
      <c r="A56" s="113" t="s">
        <v>611</v>
      </c>
      <c r="B56" s="113" t="s">
        <v>612</v>
      </c>
      <c r="C56" s="113" t="s">
        <v>638</v>
      </c>
      <c r="D56" s="113">
        <v>113.8</v>
      </c>
      <c r="E56" s="113">
        <v>605</v>
      </c>
      <c r="F56" s="113" t="s">
        <v>648</v>
      </c>
      <c r="G56" s="113" t="s">
        <v>457</v>
      </c>
      <c r="H56" s="113">
        <v>1</v>
      </c>
      <c r="I56" s="113">
        <f>7.85*0.0001*22000*(PI()*0.025*K56*E56*0.0025+PI()*J56*K56*0.025)</f>
        <v>8.1806827262552151</v>
      </c>
      <c r="J56">
        <v>0.9</v>
      </c>
      <c r="K56">
        <v>2.5</v>
      </c>
    </row>
    <row r="57" spans="1:11" x14ac:dyDescent="0.3">
      <c r="A57" s="114" t="s">
        <v>613</v>
      </c>
      <c r="B57" s="114" t="s">
        <v>614</v>
      </c>
      <c r="C57" s="114" t="s">
        <v>624</v>
      </c>
      <c r="D57" s="114">
        <v>5.4</v>
      </c>
      <c r="E57" s="114">
        <v>65</v>
      </c>
      <c r="F57" s="114" t="s">
        <v>648</v>
      </c>
      <c r="G57" s="114" t="s">
        <v>457</v>
      </c>
      <c r="H57" s="114">
        <v>1</v>
      </c>
      <c r="I57" s="114">
        <f t="shared" si="2"/>
        <v>0.75645459174010921</v>
      </c>
      <c r="J57">
        <v>0.27300000000000002</v>
      </c>
      <c r="K57">
        <v>1.5</v>
      </c>
    </row>
    <row r="58" spans="1:11" x14ac:dyDescent="0.3">
      <c r="A58" s="113" t="s">
        <v>615</v>
      </c>
      <c r="B58" s="113" t="s">
        <v>616</v>
      </c>
      <c r="C58" s="113" t="s">
        <v>639</v>
      </c>
      <c r="D58" s="113">
        <v>11.3</v>
      </c>
      <c r="E58" s="113">
        <v>65</v>
      </c>
      <c r="F58" s="113" t="s">
        <v>648</v>
      </c>
      <c r="G58" s="113" t="s">
        <v>457</v>
      </c>
      <c r="H58" s="113">
        <v>1</v>
      </c>
      <c r="I58" s="113">
        <f t="shared" si="2"/>
        <v>1.5129091834802184</v>
      </c>
      <c r="J58">
        <v>0.27300000000000002</v>
      </c>
      <c r="K58">
        <v>3</v>
      </c>
    </row>
    <row r="59" spans="1:11" x14ac:dyDescent="0.3">
      <c r="A59" s="114" t="s">
        <v>617</v>
      </c>
      <c r="B59" s="114" t="s">
        <v>618</v>
      </c>
      <c r="C59" s="114" t="s">
        <v>640</v>
      </c>
      <c r="D59" s="131">
        <v>2424</v>
      </c>
      <c r="E59" s="114">
        <v>4566</v>
      </c>
      <c r="F59" s="114" t="s">
        <v>648</v>
      </c>
      <c r="G59" s="114" t="s">
        <v>457</v>
      </c>
      <c r="H59" s="114">
        <v>1</v>
      </c>
      <c r="I59" s="114">
        <f t="shared" si="2"/>
        <v>107.91770828055819</v>
      </c>
      <c r="J59">
        <v>1.9</v>
      </c>
      <c r="K59">
        <v>9</v>
      </c>
    </row>
    <row r="60" spans="1:11" x14ac:dyDescent="0.3">
      <c r="A60" s="113" t="s">
        <v>619</v>
      </c>
      <c r="B60" s="113" t="s">
        <v>620</v>
      </c>
      <c r="C60" s="113" t="s">
        <v>641</v>
      </c>
      <c r="D60" s="113">
        <v>209.3</v>
      </c>
      <c r="E60" s="113">
        <v>797</v>
      </c>
      <c r="F60" s="113" t="s">
        <v>648</v>
      </c>
      <c r="G60" s="113" t="s">
        <v>457</v>
      </c>
      <c r="H60" s="113">
        <v>1</v>
      </c>
      <c r="I60" s="113">
        <f t="shared" si="2"/>
        <v>12.277270231385625</v>
      </c>
      <c r="J60">
        <v>0.8</v>
      </c>
      <c r="K60">
        <v>4.5</v>
      </c>
    </row>
    <row r="61" spans="1:11" s="106" customFormat="1" x14ac:dyDescent="0.3">
      <c r="A61" s="114" t="s">
        <v>642</v>
      </c>
      <c r="B61" s="114" t="s">
        <v>643</v>
      </c>
      <c r="C61" s="114" t="s">
        <v>806</v>
      </c>
      <c r="D61" s="114">
        <v>17.7</v>
      </c>
      <c r="E61" s="114">
        <v>29</v>
      </c>
      <c r="F61" s="126" t="s">
        <v>652</v>
      </c>
      <c r="G61" s="126" t="s">
        <v>653</v>
      </c>
      <c r="H61" s="114">
        <v>1</v>
      </c>
      <c r="I61" s="113">
        <f>7.85*0.0001*22000*(PI()*0.025*K61*E61*0.0025+PI()*J61*K61*0.025)</f>
        <v>3.5584698250496261</v>
      </c>
      <c r="J61" s="106">
        <v>0.219</v>
      </c>
      <c r="K61" s="106">
        <v>9</v>
      </c>
    </row>
    <row r="62" spans="1:11" s="106" customFormat="1" x14ac:dyDescent="0.3">
      <c r="A62" s="158" t="s">
        <v>555</v>
      </c>
      <c r="B62" s="158"/>
      <c r="C62" s="158"/>
      <c r="D62" s="158"/>
      <c r="E62" s="158"/>
      <c r="F62" s="158"/>
      <c r="G62" s="158"/>
      <c r="H62" s="158"/>
      <c r="I62" s="113">
        <f>SUM(I40:I61)</f>
        <v>420.36242700216133</v>
      </c>
    </row>
    <row r="64" spans="1:11" ht="15.5" x14ac:dyDescent="0.3">
      <c r="A64" s="40" t="s">
        <v>463</v>
      </c>
    </row>
    <row r="65" spans="1:10" x14ac:dyDescent="0.3">
      <c r="A65" s="110" t="s">
        <v>544</v>
      </c>
      <c r="B65" s="110" t="s">
        <v>227</v>
      </c>
      <c r="C65" s="110" t="s">
        <v>556</v>
      </c>
      <c r="D65" s="110" t="s">
        <v>625</v>
      </c>
      <c r="E65" s="110" t="s">
        <v>669</v>
      </c>
      <c r="F65" s="110" t="s">
        <v>448</v>
      </c>
      <c r="G65" s="110" t="s">
        <v>449</v>
      </c>
      <c r="H65" s="110" t="s">
        <v>554</v>
      </c>
    </row>
    <row r="66" spans="1:10" s="106" customFormat="1" x14ac:dyDescent="0.3">
      <c r="A66" s="113" t="s">
        <v>654</v>
      </c>
      <c r="B66" s="113" t="s">
        <v>655</v>
      </c>
      <c r="C66" s="113" t="s">
        <v>656</v>
      </c>
      <c r="D66" s="113" t="s">
        <v>657</v>
      </c>
      <c r="E66" s="113" t="s">
        <v>446</v>
      </c>
      <c r="F66" s="113">
        <v>43</v>
      </c>
      <c r="G66" s="113">
        <v>1</v>
      </c>
      <c r="H66" s="113">
        <f t="shared" ref="H66:H71" si="3">48000*0.0001*F66</f>
        <v>206.4</v>
      </c>
    </row>
    <row r="67" spans="1:10" s="106" customFormat="1" x14ac:dyDescent="0.3">
      <c r="A67" s="114" t="s">
        <v>464</v>
      </c>
      <c r="B67" s="114" t="s">
        <v>658</v>
      </c>
      <c r="C67" s="114" t="s">
        <v>656</v>
      </c>
      <c r="D67" s="114" t="s">
        <v>659</v>
      </c>
      <c r="E67" s="114" t="s">
        <v>446</v>
      </c>
      <c r="F67" s="114">
        <v>22</v>
      </c>
      <c r="G67" s="114">
        <v>1</v>
      </c>
      <c r="H67" s="114">
        <f t="shared" si="3"/>
        <v>105.6</v>
      </c>
    </row>
    <row r="68" spans="1:10" s="106" customFormat="1" x14ac:dyDescent="0.3">
      <c r="A68" s="113" t="s">
        <v>465</v>
      </c>
      <c r="B68" s="113" t="s">
        <v>660</v>
      </c>
      <c r="C68" s="113" t="s">
        <v>656</v>
      </c>
      <c r="D68" s="113" t="s">
        <v>659</v>
      </c>
      <c r="E68" s="113" t="s">
        <v>446</v>
      </c>
      <c r="F68" s="113">
        <v>22</v>
      </c>
      <c r="G68" s="113">
        <v>1</v>
      </c>
      <c r="H68" s="113">
        <f t="shared" si="3"/>
        <v>105.6</v>
      </c>
    </row>
    <row r="69" spans="1:10" s="106" customFormat="1" x14ac:dyDescent="0.3">
      <c r="A69" s="114" t="s">
        <v>661</v>
      </c>
      <c r="B69" s="114" t="s">
        <v>662</v>
      </c>
      <c r="C69" s="114" t="s">
        <v>656</v>
      </c>
      <c r="D69" s="114" t="s">
        <v>663</v>
      </c>
      <c r="E69" s="114" t="s">
        <v>446</v>
      </c>
      <c r="F69" s="114">
        <v>17</v>
      </c>
      <c r="G69" s="114">
        <v>1</v>
      </c>
      <c r="H69" s="114">
        <f t="shared" si="3"/>
        <v>81.599999999999994</v>
      </c>
    </row>
    <row r="70" spans="1:10" x14ac:dyDescent="0.3">
      <c r="A70" s="113" t="s">
        <v>664</v>
      </c>
      <c r="B70" s="113" t="s">
        <v>665</v>
      </c>
      <c r="C70" s="113" t="s">
        <v>656</v>
      </c>
      <c r="D70" s="113" t="s">
        <v>666</v>
      </c>
      <c r="E70" s="113" t="s">
        <v>446</v>
      </c>
      <c r="F70" s="113">
        <v>4.5</v>
      </c>
      <c r="G70" s="113">
        <v>1</v>
      </c>
      <c r="H70" s="113">
        <f t="shared" si="3"/>
        <v>21.599999999999998</v>
      </c>
    </row>
    <row r="71" spans="1:10" x14ac:dyDescent="0.3">
      <c r="A71" s="114" t="s">
        <v>667</v>
      </c>
      <c r="B71" s="114" t="s">
        <v>668</v>
      </c>
      <c r="C71" s="114" t="s">
        <v>656</v>
      </c>
      <c r="D71" s="114" t="s">
        <v>666</v>
      </c>
      <c r="E71" s="114" t="s">
        <v>446</v>
      </c>
      <c r="F71" s="114">
        <v>4.5</v>
      </c>
      <c r="G71" s="114">
        <v>1</v>
      </c>
      <c r="H71" s="114">
        <f t="shared" si="3"/>
        <v>21.599999999999998</v>
      </c>
    </row>
    <row r="72" spans="1:10" x14ac:dyDescent="0.3">
      <c r="A72" s="158" t="s">
        <v>555</v>
      </c>
      <c r="B72" s="158"/>
      <c r="C72" s="158"/>
      <c r="D72" s="158"/>
      <c r="E72" s="158"/>
      <c r="F72" s="158"/>
      <c r="G72" s="158"/>
      <c r="H72" s="113">
        <f>SUM(H66:H71)</f>
        <v>542.40000000000009</v>
      </c>
    </row>
    <row r="74" spans="1:10" ht="15.5" x14ac:dyDescent="0.3">
      <c r="A74" s="40" t="s">
        <v>466</v>
      </c>
    </row>
    <row r="75" spans="1:10" x14ac:dyDescent="0.3">
      <c r="A75" s="110" t="s">
        <v>544</v>
      </c>
      <c r="B75" s="110" t="s">
        <v>227</v>
      </c>
      <c r="C75" s="110" t="s">
        <v>556</v>
      </c>
      <c r="D75" s="110" t="s">
        <v>671</v>
      </c>
      <c r="E75" s="110" t="s">
        <v>447</v>
      </c>
      <c r="F75" s="110" t="s">
        <v>678</v>
      </c>
      <c r="G75" s="110" t="s">
        <v>679</v>
      </c>
      <c r="H75" s="110" t="s">
        <v>449</v>
      </c>
      <c r="I75" s="110" t="s">
        <v>682</v>
      </c>
      <c r="J75" s="110" t="s">
        <v>650</v>
      </c>
    </row>
    <row r="76" spans="1:10" x14ac:dyDescent="0.3">
      <c r="A76" s="113" t="s">
        <v>467</v>
      </c>
      <c r="B76" s="113" t="s">
        <v>672</v>
      </c>
      <c r="C76" s="113" t="s">
        <v>673</v>
      </c>
      <c r="D76" s="113">
        <v>2000</v>
      </c>
      <c r="E76" s="113" t="s">
        <v>680</v>
      </c>
      <c r="F76" s="113" t="s">
        <v>681</v>
      </c>
      <c r="G76" s="113">
        <v>310</v>
      </c>
      <c r="H76" s="113">
        <v>1</v>
      </c>
      <c r="I76" s="113">
        <v>422</v>
      </c>
      <c r="J76" s="113">
        <v>432</v>
      </c>
    </row>
    <row r="77" spans="1:10" x14ac:dyDescent="0.3">
      <c r="A77" s="114" t="s">
        <v>807</v>
      </c>
      <c r="B77" s="114" t="s">
        <v>674</v>
      </c>
      <c r="C77" s="114" t="s">
        <v>675</v>
      </c>
      <c r="D77" s="114">
        <v>3000</v>
      </c>
      <c r="E77" s="114" t="s">
        <v>469</v>
      </c>
      <c r="F77" s="114" t="s">
        <v>681</v>
      </c>
      <c r="G77" s="114">
        <v>89.484999999999999</v>
      </c>
      <c r="H77" s="114">
        <v>2</v>
      </c>
      <c r="I77" s="114">
        <f>20000*0.0001*G77</f>
        <v>178.97</v>
      </c>
      <c r="J77" s="114">
        <f>I77*H77</f>
        <v>357.94</v>
      </c>
    </row>
    <row r="78" spans="1:10" x14ac:dyDescent="0.3">
      <c r="A78" s="113" t="s">
        <v>808</v>
      </c>
      <c r="B78" s="113" t="s">
        <v>676</v>
      </c>
      <c r="C78" s="113" t="s">
        <v>675</v>
      </c>
      <c r="D78" s="113">
        <v>3000</v>
      </c>
      <c r="E78" s="113" t="s">
        <v>469</v>
      </c>
      <c r="F78" s="113" t="s">
        <v>681</v>
      </c>
      <c r="G78" s="113">
        <v>89.484999999999999</v>
      </c>
      <c r="H78" s="113">
        <v>1</v>
      </c>
      <c r="I78" s="113">
        <f>20000*0.0001*G78</f>
        <v>178.97</v>
      </c>
      <c r="J78" s="113">
        <f>H78*I78</f>
        <v>178.97</v>
      </c>
    </row>
    <row r="79" spans="1:10" x14ac:dyDescent="0.3">
      <c r="A79" s="162" t="s">
        <v>555</v>
      </c>
      <c r="B79" s="162"/>
      <c r="C79" s="162"/>
      <c r="D79" s="162"/>
      <c r="E79" s="162"/>
      <c r="F79" s="162"/>
      <c r="G79" s="162"/>
      <c r="H79" s="162"/>
      <c r="I79" s="162"/>
      <c r="J79" s="114">
        <f>SUM(J76:J78)</f>
        <v>968.91000000000008</v>
      </c>
    </row>
    <row r="80" spans="1:10" x14ac:dyDescent="0.3">
      <c r="A80" s="106"/>
      <c r="B80" s="106"/>
      <c r="C80" s="106"/>
      <c r="D80" s="106"/>
      <c r="E80" s="106"/>
      <c r="F80" s="106"/>
    </row>
    <row r="81" spans="1:7" x14ac:dyDescent="0.3">
      <c r="A81" s="127"/>
      <c r="B81" s="127"/>
      <c r="C81" s="127"/>
      <c r="D81" s="127"/>
      <c r="E81" s="127"/>
      <c r="F81" s="106"/>
    </row>
    <row r="83" spans="1:7" ht="15.5" x14ac:dyDescent="0.3">
      <c r="A83" s="40" t="s">
        <v>684</v>
      </c>
    </row>
    <row r="84" spans="1:7" s="106" customFormat="1" ht="15.5" x14ac:dyDescent="0.3">
      <c r="A84" s="128" t="s">
        <v>544</v>
      </c>
      <c r="B84" s="129" t="s">
        <v>227</v>
      </c>
      <c r="C84" s="129" t="s">
        <v>556</v>
      </c>
      <c r="D84" s="129" t="s">
        <v>468</v>
      </c>
      <c r="E84" s="129" t="s">
        <v>702</v>
      </c>
      <c r="F84" s="129" t="s">
        <v>41</v>
      </c>
      <c r="G84" s="129" t="s">
        <v>554</v>
      </c>
    </row>
    <row r="85" spans="1:7" s="106" customFormat="1" ht="15.5" x14ac:dyDescent="0.3">
      <c r="A85" s="128" t="s">
        <v>455</v>
      </c>
      <c r="B85" s="129" t="s">
        <v>686</v>
      </c>
      <c r="C85" s="129" t="s">
        <v>675</v>
      </c>
      <c r="D85" s="129" t="s">
        <v>458</v>
      </c>
      <c r="E85" s="129">
        <v>60950</v>
      </c>
      <c r="F85" s="129">
        <v>1</v>
      </c>
      <c r="G85" s="111">
        <f>22000*0.0001*E85*0.001</f>
        <v>134.09</v>
      </c>
    </row>
    <row r="86" spans="1:7" s="106" customFormat="1" ht="15.5" x14ac:dyDescent="0.3">
      <c r="A86" s="128" t="s">
        <v>687</v>
      </c>
      <c r="B86" s="129" t="s">
        <v>688</v>
      </c>
      <c r="C86" s="129" t="s">
        <v>675</v>
      </c>
      <c r="D86" s="129" t="s">
        <v>458</v>
      </c>
      <c r="E86" s="129">
        <v>89485</v>
      </c>
      <c r="F86" s="129">
        <v>1</v>
      </c>
      <c r="G86" s="111">
        <f>22000*0.0001*E86*0.001</f>
        <v>196.86700000000005</v>
      </c>
    </row>
    <row r="87" spans="1:7" s="106" customFormat="1" ht="15.5" x14ac:dyDescent="0.3">
      <c r="A87" s="128" t="s">
        <v>689</v>
      </c>
      <c r="B87" s="129" t="s">
        <v>690</v>
      </c>
      <c r="C87" s="129" t="s">
        <v>675</v>
      </c>
      <c r="D87" s="129" t="s">
        <v>458</v>
      </c>
      <c r="E87" s="129">
        <v>60950</v>
      </c>
      <c r="F87" s="129">
        <v>1</v>
      </c>
      <c r="G87" s="111">
        <f>22000*0.0001*E87*0.001</f>
        <v>134.09</v>
      </c>
    </row>
    <row r="88" spans="1:7" s="106" customFormat="1" ht="15.5" x14ac:dyDescent="0.3">
      <c r="A88" s="128" t="s">
        <v>691</v>
      </c>
      <c r="B88" s="129" t="s">
        <v>692</v>
      </c>
      <c r="C88" s="129" t="s">
        <v>675</v>
      </c>
      <c r="D88" s="129" t="s">
        <v>458</v>
      </c>
      <c r="E88" s="129">
        <v>89485</v>
      </c>
      <c r="F88" s="129">
        <v>1</v>
      </c>
      <c r="G88" s="111">
        <f>22000*0.0001*E88*0.001</f>
        <v>196.86700000000005</v>
      </c>
    </row>
    <row r="89" spans="1:7" s="106" customFormat="1" ht="15.5" x14ac:dyDescent="0.3">
      <c r="A89" s="128" t="s">
        <v>693</v>
      </c>
      <c r="B89" s="129" t="s">
        <v>694</v>
      </c>
      <c r="C89" s="129" t="s">
        <v>695</v>
      </c>
      <c r="D89" s="129" t="s">
        <v>677</v>
      </c>
      <c r="E89" s="129">
        <v>640</v>
      </c>
      <c r="F89" s="129">
        <v>1</v>
      </c>
      <c r="G89" s="111">
        <f t="shared" ref="G89:G102" si="4">48000*0.0001*E89*0.001</f>
        <v>3.0720000000000001</v>
      </c>
    </row>
    <row r="90" spans="1:7" s="106" customFormat="1" ht="15.5" x14ac:dyDescent="0.3">
      <c r="A90" s="128" t="s">
        <v>696</v>
      </c>
      <c r="B90" s="129" t="s">
        <v>697</v>
      </c>
      <c r="C90" s="129" t="s">
        <v>695</v>
      </c>
      <c r="D90" s="129" t="s">
        <v>677</v>
      </c>
      <c r="E90" s="129">
        <v>640</v>
      </c>
      <c r="F90" s="129">
        <v>1</v>
      </c>
      <c r="G90" s="111">
        <f t="shared" si="4"/>
        <v>3.0720000000000001</v>
      </c>
    </row>
    <row r="91" spans="1:7" s="106" customFormat="1" ht="15.5" x14ac:dyDescent="0.3">
      <c r="A91" s="128" t="s">
        <v>698</v>
      </c>
      <c r="B91" s="129" t="s">
        <v>699</v>
      </c>
      <c r="C91" s="129" t="s">
        <v>675</v>
      </c>
      <c r="D91" s="129" t="s">
        <v>458</v>
      </c>
      <c r="E91" s="129">
        <v>60950</v>
      </c>
      <c r="F91" s="129">
        <v>1</v>
      </c>
      <c r="G91" s="111">
        <f t="shared" ref="G91:G96" si="5">22000*0.0001*E91*0.001</f>
        <v>134.09</v>
      </c>
    </row>
    <row r="92" spans="1:7" s="106" customFormat="1" ht="15.5" x14ac:dyDescent="0.3">
      <c r="A92" s="128" t="s">
        <v>700</v>
      </c>
      <c r="B92" s="129" t="s">
        <v>701</v>
      </c>
      <c r="C92" s="129" t="s">
        <v>695</v>
      </c>
      <c r="D92" s="129" t="s">
        <v>458</v>
      </c>
      <c r="E92" s="129">
        <v>6550</v>
      </c>
      <c r="F92" s="129">
        <v>1</v>
      </c>
      <c r="G92" s="111">
        <f t="shared" si="4"/>
        <v>31.44</v>
      </c>
    </row>
    <row r="93" spans="1:7" s="106" customFormat="1" ht="15.5" x14ac:dyDescent="0.3">
      <c r="A93" s="128" t="s">
        <v>804</v>
      </c>
      <c r="B93" s="129" t="s">
        <v>699</v>
      </c>
      <c r="C93" s="129" t="s">
        <v>675</v>
      </c>
      <c r="D93" s="129" t="s">
        <v>458</v>
      </c>
      <c r="E93" s="129">
        <v>60950</v>
      </c>
      <c r="F93" s="129">
        <v>1</v>
      </c>
      <c r="G93" s="111">
        <f t="shared" si="5"/>
        <v>134.09</v>
      </c>
    </row>
    <row r="94" spans="1:7" s="106" customFormat="1" x14ac:dyDescent="0.3">
      <c r="A94" s="113" t="s">
        <v>703</v>
      </c>
      <c r="B94" s="113" t="s">
        <v>704</v>
      </c>
      <c r="C94" s="113" t="s">
        <v>670</v>
      </c>
      <c r="D94" s="113" t="s">
        <v>458</v>
      </c>
      <c r="E94" s="113">
        <v>12620</v>
      </c>
      <c r="F94" s="113">
        <v>1</v>
      </c>
      <c r="G94" s="111">
        <f t="shared" si="5"/>
        <v>27.764000000000003</v>
      </c>
    </row>
    <row r="95" spans="1:7" x14ac:dyDescent="0.3">
      <c r="A95" s="113" t="s">
        <v>705</v>
      </c>
      <c r="B95" s="113" t="s">
        <v>706</v>
      </c>
      <c r="C95" s="113" t="s">
        <v>685</v>
      </c>
      <c r="D95" s="113" t="s">
        <v>458</v>
      </c>
      <c r="E95" s="113">
        <v>6550</v>
      </c>
      <c r="F95" s="113">
        <v>1</v>
      </c>
      <c r="G95" s="111">
        <f t="shared" si="4"/>
        <v>31.44</v>
      </c>
    </row>
    <row r="96" spans="1:7" s="106" customFormat="1" x14ac:dyDescent="0.3">
      <c r="A96" s="113" t="s">
        <v>707</v>
      </c>
      <c r="B96" s="113" t="s">
        <v>708</v>
      </c>
      <c r="C96" s="113" t="s">
        <v>670</v>
      </c>
      <c r="D96" s="113" t="s">
        <v>458</v>
      </c>
      <c r="E96" s="113">
        <v>19280</v>
      </c>
      <c r="F96" s="113">
        <v>1</v>
      </c>
      <c r="G96" s="111">
        <f t="shared" si="5"/>
        <v>42.416000000000004</v>
      </c>
    </row>
    <row r="97" spans="1:8" s="106" customFormat="1" x14ac:dyDescent="0.3">
      <c r="A97" s="113" t="s">
        <v>709</v>
      </c>
      <c r="B97" s="113" t="s">
        <v>710</v>
      </c>
      <c r="C97" s="113" t="s">
        <v>685</v>
      </c>
      <c r="D97" s="113" t="s">
        <v>458</v>
      </c>
      <c r="E97" s="113">
        <v>640</v>
      </c>
      <c r="F97" s="113">
        <v>1</v>
      </c>
      <c r="G97" s="111">
        <f t="shared" si="4"/>
        <v>3.0720000000000001</v>
      </c>
    </row>
    <row r="98" spans="1:8" s="106" customFormat="1" x14ac:dyDescent="0.3">
      <c r="A98" s="113" t="s">
        <v>711</v>
      </c>
      <c r="B98" s="113" t="s">
        <v>712</v>
      </c>
      <c r="C98" s="113" t="s">
        <v>685</v>
      </c>
      <c r="D98" s="113" t="s">
        <v>458</v>
      </c>
      <c r="E98" s="113">
        <v>290</v>
      </c>
      <c r="F98" s="113">
        <v>1</v>
      </c>
      <c r="G98" s="111">
        <f t="shared" si="4"/>
        <v>1.3920000000000001</v>
      </c>
    </row>
    <row r="99" spans="1:8" s="106" customFormat="1" x14ac:dyDescent="0.3">
      <c r="A99" s="113" t="s">
        <v>713</v>
      </c>
      <c r="B99" s="113" t="s">
        <v>714</v>
      </c>
      <c r="C99" s="113" t="s">
        <v>685</v>
      </c>
      <c r="D99" s="113" t="s">
        <v>458</v>
      </c>
      <c r="E99" s="113">
        <v>290</v>
      </c>
      <c r="F99" s="113">
        <v>1</v>
      </c>
      <c r="G99" s="111">
        <f t="shared" si="4"/>
        <v>1.3920000000000001</v>
      </c>
    </row>
    <row r="100" spans="1:8" s="106" customFormat="1" x14ac:dyDescent="0.3">
      <c r="A100" s="113" t="s">
        <v>715</v>
      </c>
      <c r="B100" s="113" t="s">
        <v>716</v>
      </c>
      <c r="C100" s="113" t="s">
        <v>685</v>
      </c>
      <c r="D100" s="113" t="s">
        <v>458</v>
      </c>
      <c r="E100" s="113">
        <v>290</v>
      </c>
      <c r="F100" s="113">
        <v>1</v>
      </c>
      <c r="G100" s="111">
        <f t="shared" si="4"/>
        <v>1.3920000000000001</v>
      </c>
    </row>
    <row r="101" spans="1:8" s="106" customFormat="1" x14ac:dyDescent="0.3">
      <c r="A101" s="113" t="s">
        <v>717</v>
      </c>
      <c r="B101" s="113" t="s">
        <v>718</v>
      </c>
      <c r="C101" s="113" t="s">
        <v>685</v>
      </c>
      <c r="D101" s="113" t="s">
        <v>458</v>
      </c>
      <c r="E101" s="113">
        <v>500</v>
      </c>
      <c r="F101" s="113">
        <v>1</v>
      </c>
      <c r="G101" s="111">
        <f t="shared" si="4"/>
        <v>2.4</v>
      </c>
    </row>
    <row r="102" spans="1:8" s="106" customFormat="1" x14ac:dyDescent="0.3">
      <c r="A102" s="113" t="s">
        <v>719</v>
      </c>
      <c r="B102" s="113" t="s">
        <v>720</v>
      </c>
      <c r="C102" s="113" t="s">
        <v>685</v>
      </c>
      <c r="D102" s="113" t="s">
        <v>458</v>
      </c>
      <c r="E102" s="113">
        <v>290</v>
      </c>
      <c r="F102" s="113">
        <v>1</v>
      </c>
      <c r="G102" s="111">
        <f t="shared" si="4"/>
        <v>1.3920000000000001</v>
      </c>
    </row>
    <row r="103" spans="1:8" s="106" customFormat="1" x14ac:dyDescent="0.3">
      <c r="A103" s="158" t="s">
        <v>555</v>
      </c>
      <c r="B103" s="158"/>
      <c r="C103" s="158"/>
      <c r="D103" s="158"/>
      <c r="E103" s="158"/>
      <c r="F103" s="158"/>
      <c r="G103" s="111">
        <f>SUM(G85:G102)</f>
        <v>1080.3380000000004</v>
      </c>
    </row>
    <row r="104" spans="1:8" s="106" customFormat="1" x14ac:dyDescent="0.3"/>
    <row r="105" spans="1:8" x14ac:dyDescent="0.3">
      <c r="A105" s="106"/>
      <c r="B105" s="106"/>
      <c r="C105" s="106"/>
      <c r="D105" s="106"/>
      <c r="E105" s="106"/>
    </row>
    <row r="106" spans="1:8" x14ac:dyDescent="0.3">
      <c r="A106" s="106"/>
      <c r="B106" s="106"/>
      <c r="C106" s="106"/>
      <c r="D106" s="106"/>
      <c r="E106" s="106"/>
    </row>
    <row r="107" spans="1:8" x14ac:dyDescent="0.3">
      <c r="A107" s="106"/>
      <c r="B107" s="106"/>
      <c r="C107" s="106"/>
      <c r="D107" s="106"/>
      <c r="E107" s="106"/>
    </row>
    <row r="108" spans="1:8" x14ac:dyDescent="0.3">
      <c r="A108" s="127"/>
      <c r="B108" s="127"/>
      <c r="C108" s="127"/>
      <c r="D108" s="127"/>
      <c r="E108" s="106"/>
    </row>
    <row r="110" spans="1:8" ht="15.5" x14ac:dyDescent="0.3">
      <c r="A110" s="40" t="s">
        <v>470</v>
      </c>
    </row>
    <row r="111" spans="1:8" x14ac:dyDescent="0.3">
      <c r="A111" s="113" t="s">
        <v>758</v>
      </c>
      <c r="B111" s="113" t="s">
        <v>759</v>
      </c>
      <c r="C111" s="113" t="s">
        <v>626</v>
      </c>
      <c r="D111" s="113" t="s">
        <v>760</v>
      </c>
      <c r="E111" s="113" t="s">
        <v>784</v>
      </c>
      <c r="F111" s="113" t="s">
        <v>783</v>
      </c>
      <c r="G111" s="113" t="s">
        <v>553</v>
      </c>
      <c r="H111" s="113" t="s">
        <v>651</v>
      </c>
    </row>
    <row r="112" spans="1:8" s="106" customFormat="1" x14ac:dyDescent="0.3">
      <c r="A112" s="113" t="s">
        <v>471</v>
      </c>
      <c r="B112" s="113" t="s">
        <v>746</v>
      </c>
      <c r="C112" s="113" t="s">
        <v>721</v>
      </c>
      <c r="D112" s="113" t="s">
        <v>722</v>
      </c>
      <c r="E112" s="113" t="s">
        <v>446</v>
      </c>
      <c r="F112" s="113">
        <v>0.33</v>
      </c>
      <c r="G112" s="113">
        <v>1</v>
      </c>
      <c r="H112" s="113">
        <f>F112</f>
        <v>0.33</v>
      </c>
    </row>
    <row r="113" spans="1:8" s="106" customFormat="1" x14ac:dyDescent="0.3">
      <c r="A113" s="113" t="s">
        <v>472</v>
      </c>
      <c r="B113" s="113" t="s">
        <v>747</v>
      </c>
      <c r="C113" s="113" t="s">
        <v>723</v>
      </c>
      <c r="D113" s="113" t="s">
        <v>722</v>
      </c>
      <c r="E113" s="113" t="s">
        <v>446</v>
      </c>
      <c r="F113" s="113">
        <v>2.75</v>
      </c>
      <c r="G113" s="113">
        <v>1</v>
      </c>
      <c r="H113" s="113">
        <f t="shared" ref="H113:H135" si="6">F113</f>
        <v>2.75</v>
      </c>
    </row>
    <row r="114" spans="1:8" s="106" customFormat="1" x14ac:dyDescent="0.3">
      <c r="A114" s="113" t="s">
        <v>473</v>
      </c>
      <c r="B114" s="113" t="s">
        <v>748</v>
      </c>
      <c r="C114" s="113" t="s">
        <v>724</v>
      </c>
      <c r="D114" s="113" t="s">
        <v>722</v>
      </c>
      <c r="E114" s="113" t="s">
        <v>446</v>
      </c>
      <c r="F114" s="113">
        <v>2.4500000000000002</v>
      </c>
      <c r="G114" s="113">
        <v>1</v>
      </c>
      <c r="H114" s="113">
        <f t="shared" si="6"/>
        <v>2.4500000000000002</v>
      </c>
    </row>
    <row r="115" spans="1:8" s="106" customFormat="1" x14ac:dyDescent="0.3">
      <c r="A115" s="113" t="s">
        <v>725</v>
      </c>
      <c r="B115" s="113" t="s">
        <v>749</v>
      </c>
      <c r="C115" s="113" t="s">
        <v>726</v>
      </c>
      <c r="D115" s="113" t="s">
        <v>722</v>
      </c>
      <c r="E115" s="113" t="s">
        <v>446</v>
      </c>
      <c r="F115" s="113">
        <v>1.95</v>
      </c>
      <c r="G115" s="113">
        <v>1</v>
      </c>
      <c r="H115" s="113">
        <f t="shared" si="6"/>
        <v>1.95</v>
      </c>
    </row>
    <row r="116" spans="1:8" s="106" customFormat="1" x14ac:dyDescent="0.3">
      <c r="A116" s="113" t="s">
        <v>727</v>
      </c>
      <c r="B116" s="113" t="s">
        <v>750</v>
      </c>
      <c r="C116" s="113" t="s">
        <v>728</v>
      </c>
      <c r="D116" s="113" t="s">
        <v>722</v>
      </c>
      <c r="E116" s="113" t="s">
        <v>446</v>
      </c>
      <c r="F116" s="113">
        <v>0.22</v>
      </c>
      <c r="G116" s="113">
        <v>1</v>
      </c>
      <c r="H116" s="113">
        <f t="shared" si="6"/>
        <v>0.22</v>
      </c>
    </row>
    <row r="117" spans="1:8" s="106" customFormat="1" x14ac:dyDescent="0.3">
      <c r="A117" s="113" t="s">
        <v>729</v>
      </c>
      <c r="B117" s="113" t="s">
        <v>751</v>
      </c>
      <c r="C117" s="113" t="s">
        <v>730</v>
      </c>
      <c r="D117" s="113" t="s">
        <v>722</v>
      </c>
      <c r="E117" s="113" t="s">
        <v>446</v>
      </c>
      <c r="F117" s="113">
        <v>0.83</v>
      </c>
      <c r="G117" s="113">
        <v>2</v>
      </c>
      <c r="H117" s="113">
        <f t="shared" si="6"/>
        <v>0.83</v>
      </c>
    </row>
    <row r="118" spans="1:8" s="106" customFormat="1" x14ac:dyDescent="0.3">
      <c r="A118" s="113" t="s">
        <v>731</v>
      </c>
      <c r="B118" s="113" t="s">
        <v>732</v>
      </c>
      <c r="C118" s="113" t="s">
        <v>733</v>
      </c>
      <c r="D118" s="113" t="s">
        <v>722</v>
      </c>
      <c r="E118" s="113" t="s">
        <v>446</v>
      </c>
      <c r="F118" s="113">
        <v>0.21</v>
      </c>
      <c r="G118" s="113">
        <v>1</v>
      </c>
      <c r="H118" s="113">
        <f t="shared" si="6"/>
        <v>0.21</v>
      </c>
    </row>
    <row r="119" spans="1:8" s="106" customFormat="1" x14ac:dyDescent="0.3">
      <c r="A119" s="113" t="s">
        <v>734</v>
      </c>
      <c r="B119" s="113" t="s">
        <v>752</v>
      </c>
      <c r="C119" s="113" t="s">
        <v>735</v>
      </c>
      <c r="D119" s="113" t="s">
        <v>722</v>
      </c>
      <c r="E119" s="113" t="s">
        <v>446</v>
      </c>
      <c r="F119" s="113">
        <v>1.95</v>
      </c>
      <c r="G119" s="113">
        <v>1</v>
      </c>
      <c r="H119" s="113">
        <f t="shared" si="6"/>
        <v>1.95</v>
      </c>
    </row>
    <row r="120" spans="1:8" s="106" customFormat="1" x14ac:dyDescent="0.3">
      <c r="A120" s="113" t="s">
        <v>736</v>
      </c>
      <c r="B120" s="113" t="s">
        <v>753</v>
      </c>
      <c r="C120" s="113" t="s">
        <v>737</v>
      </c>
      <c r="D120" s="113" t="s">
        <v>722</v>
      </c>
      <c r="E120" s="113" t="s">
        <v>446</v>
      </c>
      <c r="F120" s="113">
        <v>1.55</v>
      </c>
      <c r="G120" s="113">
        <v>1</v>
      </c>
      <c r="H120" s="113">
        <f t="shared" si="6"/>
        <v>1.55</v>
      </c>
    </row>
    <row r="121" spans="1:8" s="106" customFormat="1" x14ac:dyDescent="0.3">
      <c r="A121" s="113" t="s">
        <v>738</v>
      </c>
      <c r="B121" s="113" t="s">
        <v>754</v>
      </c>
      <c r="C121" s="113" t="s">
        <v>730</v>
      </c>
      <c r="D121" s="113" t="s">
        <v>722</v>
      </c>
      <c r="E121" s="113" t="s">
        <v>446</v>
      </c>
      <c r="F121" s="113">
        <v>0.43</v>
      </c>
      <c r="G121" s="113">
        <v>1</v>
      </c>
      <c r="H121" s="113">
        <f t="shared" si="6"/>
        <v>0.43</v>
      </c>
    </row>
    <row r="122" spans="1:8" s="106" customFormat="1" x14ac:dyDescent="0.3">
      <c r="A122" s="113" t="s">
        <v>474</v>
      </c>
      <c r="B122" s="113" t="s">
        <v>755</v>
      </c>
      <c r="C122" s="113" t="s">
        <v>739</v>
      </c>
      <c r="D122" s="113" t="s">
        <v>722</v>
      </c>
      <c r="E122" s="113" t="s">
        <v>446</v>
      </c>
      <c r="F122" s="113">
        <v>0.16</v>
      </c>
      <c r="G122" s="113">
        <v>1</v>
      </c>
      <c r="H122" s="113">
        <f t="shared" si="6"/>
        <v>0.16</v>
      </c>
    </row>
    <row r="123" spans="1:8" s="106" customFormat="1" x14ac:dyDescent="0.3">
      <c r="A123" s="113" t="s">
        <v>475</v>
      </c>
      <c r="B123" s="113" t="s">
        <v>740</v>
      </c>
      <c r="C123" s="113" t="s">
        <v>741</v>
      </c>
      <c r="D123" s="113" t="s">
        <v>722</v>
      </c>
      <c r="E123" s="113" t="s">
        <v>446</v>
      </c>
      <c r="F123" s="113">
        <v>0.86</v>
      </c>
      <c r="G123" s="113">
        <v>1</v>
      </c>
      <c r="H123" s="113">
        <f t="shared" si="6"/>
        <v>0.86</v>
      </c>
    </row>
    <row r="124" spans="1:8" s="106" customFormat="1" x14ac:dyDescent="0.3">
      <c r="A124" s="113" t="s">
        <v>477</v>
      </c>
      <c r="B124" s="113" t="s">
        <v>742</v>
      </c>
      <c r="C124" s="113" t="s">
        <v>743</v>
      </c>
      <c r="D124" s="113" t="s">
        <v>722</v>
      </c>
      <c r="E124" s="113" t="s">
        <v>446</v>
      </c>
      <c r="F124" s="113">
        <v>0.54</v>
      </c>
      <c r="G124" s="113">
        <v>1</v>
      </c>
      <c r="H124" s="113">
        <f t="shared" si="6"/>
        <v>0.54</v>
      </c>
    </row>
    <row r="125" spans="1:8" s="106" customFormat="1" x14ac:dyDescent="0.3">
      <c r="A125" s="113" t="s">
        <v>479</v>
      </c>
      <c r="B125" s="113" t="s">
        <v>756</v>
      </c>
      <c r="C125" s="113" t="s">
        <v>744</v>
      </c>
      <c r="D125" s="113" t="s">
        <v>722</v>
      </c>
      <c r="E125" s="113" t="s">
        <v>446</v>
      </c>
      <c r="F125" s="113">
        <v>1.35</v>
      </c>
      <c r="G125" s="113">
        <v>1</v>
      </c>
      <c r="H125" s="113">
        <f t="shared" si="6"/>
        <v>1.35</v>
      </c>
    </row>
    <row r="126" spans="1:8" s="106" customFormat="1" x14ac:dyDescent="0.3">
      <c r="A126" s="113" t="s">
        <v>480</v>
      </c>
      <c r="B126" s="113" t="s">
        <v>757</v>
      </c>
      <c r="C126" s="113" t="s">
        <v>745</v>
      </c>
      <c r="D126" s="113" t="s">
        <v>722</v>
      </c>
      <c r="E126" s="113" t="s">
        <v>446</v>
      </c>
      <c r="F126" s="113">
        <v>1.45</v>
      </c>
      <c r="G126" s="113">
        <v>1</v>
      </c>
      <c r="H126" s="113">
        <f t="shared" si="6"/>
        <v>1.45</v>
      </c>
    </row>
    <row r="127" spans="1:8" s="106" customFormat="1" x14ac:dyDescent="0.3">
      <c r="A127" s="113" t="s">
        <v>476</v>
      </c>
      <c r="B127" s="113" t="s">
        <v>769</v>
      </c>
      <c r="C127" s="113" t="s">
        <v>761</v>
      </c>
      <c r="D127" s="113" t="s">
        <v>762</v>
      </c>
      <c r="E127" s="113" t="s">
        <v>446</v>
      </c>
      <c r="F127" s="113">
        <v>0.12</v>
      </c>
      <c r="G127" s="113">
        <v>1</v>
      </c>
      <c r="H127" s="113">
        <f t="shared" si="6"/>
        <v>0.12</v>
      </c>
    </row>
    <row r="128" spans="1:8" s="106" customFormat="1" x14ac:dyDescent="0.3">
      <c r="A128" s="113" t="s">
        <v>483</v>
      </c>
      <c r="B128" s="113" t="s">
        <v>770</v>
      </c>
      <c r="C128" s="113" t="s">
        <v>761</v>
      </c>
      <c r="D128" s="113" t="s">
        <v>762</v>
      </c>
      <c r="E128" s="113" t="s">
        <v>446</v>
      </c>
      <c r="F128" s="113">
        <v>0.12</v>
      </c>
      <c r="G128" s="113">
        <v>1</v>
      </c>
      <c r="H128" s="113">
        <f t="shared" si="6"/>
        <v>0.12</v>
      </c>
    </row>
    <row r="129" spans="1:8" s="106" customFormat="1" x14ac:dyDescent="0.3">
      <c r="A129" s="113" t="s">
        <v>763</v>
      </c>
      <c r="B129" s="113" t="s">
        <v>771</v>
      </c>
      <c r="C129" s="113" t="s">
        <v>764</v>
      </c>
      <c r="D129" s="113" t="s">
        <v>765</v>
      </c>
      <c r="E129" s="113" t="s">
        <v>446</v>
      </c>
      <c r="F129" s="113">
        <v>0.31</v>
      </c>
      <c r="G129" s="113">
        <v>1</v>
      </c>
      <c r="H129" s="113">
        <f t="shared" si="6"/>
        <v>0.31</v>
      </c>
    </row>
    <row r="130" spans="1:8" s="106" customFormat="1" x14ac:dyDescent="0.3">
      <c r="A130" s="113" t="s">
        <v>766</v>
      </c>
      <c r="B130" s="113" t="s">
        <v>772</v>
      </c>
      <c r="C130" s="113" t="s">
        <v>767</v>
      </c>
      <c r="D130" s="113" t="s">
        <v>765</v>
      </c>
      <c r="E130" s="113" t="s">
        <v>446</v>
      </c>
      <c r="F130" s="113">
        <v>0.21</v>
      </c>
      <c r="G130" s="113">
        <v>1</v>
      </c>
      <c r="H130" s="113">
        <f t="shared" si="6"/>
        <v>0.21</v>
      </c>
    </row>
    <row r="131" spans="1:8" s="106" customFormat="1" x14ac:dyDescent="0.3">
      <c r="A131" s="113" t="s">
        <v>768</v>
      </c>
      <c r="B131" s="113" t="s">
        <v>773</v>
      </c>
      <c r="C131" s="113" t="s">
        <v>764</v>
      </c>
      <c r="D131" s="113" t="s">
        <v>765</v>
      </c>
      <c r="E131" s="113" t="s">
        <v>446</v>
      </c>
      <c r="F131" s="113">
        <v>0.31</v>
      </c>
      <c r="G131" s="113">
        <v>1</v>
      </c>
      <c r="H131" s="113">
        <f t="shared" si="6"/>
        <v>0.31</v>
      </c>
    </row>
    <row r="132" spans="1:8" s="106" customFormat="1" x14ac:dyDescent="0.3">
      <c r="A132" s="113" t="s">
        <v>478</v>
      </c>
      <c r="B132" s="113" t="s">
        <v>777</v>
      </c>
      <c r="C132" s="113" t="s">
        <v>774</v>
      </c>
      <c r="D132" s="113" t="s">
        <v>778</v>
      </c>
      <c r="E132" s="113" t="s">
        <v>446</v>
      </c>
      <c r="F132" s="113">
        <v>0.12</v>
      </c>
      <c r="G132" s="113">
        <v>1</v>
      </c>
      <c r="H132" s="113">
        <f t="shared" si="6"/>
        <v>0.12</v>
      </c>
    </row>
    <row r="133" spans="1:8" s="106" customFormat="1" x14ac:dyDescent="0.3">
      <c r="A133" s="113" t="s">
        <v>481</v>
      </c>
      <c r="B133" s="113" t="s">
        <v>779</v>
      </c>
      <c r="C133" s="113" t="s">
        <v>774</v>
      </c>
      <c r="D133" s="113" t="s">
        <v>780</v>
      </c>
      <c r="E133" s="113" t="s">
        <v>446</v>
      </c>
      <c r="F133" s="113">
        <v>0.28000000000000003</v>
      </c>
      <c r="G133" s="113">
        <v>1</v>
      </c>
      <c r="H133" s="113">
        <f t="shared" si="6"/>
        <v>0.28000000000000003</v>
      </c>
    </row>
    <row r="134" spans="1:8" s="106" customFormat="1" x14ac:dyDescent="0.3">
      <c r="A134" s="113" t="s">
        <v>482</v>
      </c>
      <c r="B134" s="113" t="s">
        <v>781</v>
      </c>
      <c r="C134" s="113" t="s">
        <v>775</v>
      </c>
      <c r="D134" s="113" t="s">
        <v>780</v>
      </c>
      <c r="E134" s="113" t="s">
        <v>446</v>
      </c>
      <c r="F134" s="113">
        <v>0.28000000000000003</v>
      </c>
      <c r="G134" s="113">
        <v>1</v>
      </c>
      <c r="H134" s="113">
        <f t="shared" si="6"/>
        <v>0.28000000000000003</v>
      </c>
    </row>
    <row r="135" spans="1:8" s="106" customFormat="1" x14ac:dyDescent="0.3">
      <c r="A135" s="113" t="s">
        <v>776</v>
      </c>
      <c r="B135" s="113" t="s">
        <v>782</v>
      </c>
      <c r="C135" s="113" t="s">
        <v>774</v>
      </c>
      <c r="D135" s="113" t="s">
        <v>780</v>
      </c>
      <c r="E135" s="113" t="s">
        <v>446</v>
      </c>
      <c r="F135" s="113">
        <v>0.28000000000000003</v>
      </c>
      <c r="G135" s="113">
        <v>1</v>
      </c>
      <c r="H135" s="113">
        <f t="shared" si="6"/>
        <v>0.28000000000000003</v>
      </c>
    </row>
    <row r="136" spans="1:8" s="106" customFormat="1" x14ac:dyDescent="0.3">
      <c r="A136" s="168" t="s">
        <v>555</v>
      </c>
      <c r="B136" s="169"/>
      <c r="C136" s="169"/>
      <c r="D136" s="169"/>
      <c r="E136" s="169"/>
      <c r="F136" s="169"/>
      <c r="G136" s="170"/>
      <c r="H136" s="113">
        <f>SUM(H112:H135)</f>
        <v>19.060000000000006</v>
      </c>
    </row>
    <row r="137" spans="1:8" s="106" customFormat="1" x14ac:dyDescent="0.3"/>
    <row r="138" spans="1:8" s="106" customFormat="1" x14ac:dyDescent="0.3"/>
    <row r="139" spans="1:8" s="106" customFormat="1" x14ac:dyDescent="0.3"/>
    <row r="140" spans="1:8" s="106" customFormat="1" x14ac:dyDescent="0.3"/>
    <row r="141" spans="1:8" s="106" customFormat="1" x14ac:dyDescent="0.3"/>
    <row r="142" spans="1:8" s="106" customFormat="1" x14ac:dyDescent="0.3"/>
    <row r="143" spans="1:8" s="106" customFormat="1" x14ac:dyDescent="0.3"/>
    <row r="144" spans="1:8" x14ac:dyDescent="0.3">
      <c r="A144" s="106"/>
      <c r="B144" s="106"/>
      <c r="C144" s="106"/>
      <c r="D144" s="106"/>
      <c r="E144" s="106"/>
      <c r="G144"/>
    </row>
    <row r="145" spans="1:7" x14ac:dyDescent="0.3">
      <c r="A145" s="106"/>
      <c r="B145" s="106"/>
      <c r="C145" s="106"/>
      <c r="D145" s="106"/>
      <c r="E145" s="106"/>
      <c r="G145"/>
    </row>
    <row r="146" spans="1:7" x14ac:dyDescent="0.3">
      <c r="A146" s="106"/>
      <c r="B146" s="106"/>
      <c r="C146" s="106"/>
      <c r="D146" s="106"/>
      <c r="E146" s="106"/>
      <c r="G146"/>
    </row>
    <row r="147" spans="1:7" x14ac:dyDescent="0.3">
      <c r="A147" s="106"/>
      <c r="B147" s="106"/>
      <c r="C147" s="106"/>
      <c r="D147" s="106"/>
      <c r="E147" s="106"/>
      <c r="G147"/>
    </row>
    <row r="148" spans="1:7" x14ac:dyDescent="0.3">
      <c r="A148" s="106"/>
      <c r="B148" s="106"/>
      <c r="C148" s="106"/>
      <c r="D148" s="106"/>
      <c r="E148" s="106"/>
      <c r="G148"/>
    </row>
    <row r="149" spans="1:7" x14ac:dyDescent="0.3">
      <c r="A149" s="106"/>
      <c r="B149" s="106"/>
      <c r="C149" s="106"/>
      <c r="D149" s="106"/>
      <c r="E149" s="106"/>
      <c r="G149"/>
    </row>
    <row r="150" spans="1:7" x14ac:dyDescent="0.3">
      <c r="A150" s="106"/>
      <c r="B150" s="106"/>
      <c r="C150" s="106"/>
      <c r="D150" s="106"/>
      <c r="E150" s="106"/>
      <c r="G150"/>
    </row>
    <row r="151" spans="1:7" x14ac:dyDescent="0.3">
      <c r="A151" s="127"/>
      <c r="B151" s="127"/>
      <c r="C151" s="127"/>
      <c r="D151" s="127"/>
      <c r="E151" s="106"/>
      <c r="G151"/>
    </row>
    <row r="152" spans="1:7" x14ac:dyDescent="0.3">
      <c r="A152" s="106"/>
      <c r="B152" s="106"/>
      <c r="C152" s="106"/>
      <c r="D152" s="106"/>
      <c r="E152" s="106"/>
      <c r="G152"/>
    </row>
    <row r="153" spans="1:7" x14ac:dyDescent="0.3">
      <c r="A153" s="106"/>
      <c r="B153" s="106"/>
      <c r="C153" s="106"/>
      <c r="D153" s="106"/>
      <c r="E153" s="106"/>
      <c r="G153"/>
    </row>
    <row r="154" spans="1:7" x14ac:dyDescent="0.3">
      <c r="A154" s="106"/>
      <c r="B154" s="106"/>
      <c r="C154" s="106"/>
      <c r="D154" s="106"/>
      <c r="E154" s="106"/>
      <c r="G154"/>
    </row>
    <row r="155" spans="1:7" x14ac:dyDescent="0.3">
      <c r="A155" s="106"/>
      <c r="B155" s="106"/>
      <c r="C155" s="106"/>
      <c r="D155" s="106"/>
      <c r="E155" s="106"/>
      <c r="G155"/>
    </row>
    <row r="156" spans="1:7" x14ac:dyDescent="0.3">
      <c r="A156" s="106"/>
      <c r="B156" s="106"/>
      <c r="C156" s="106"/>
      <c r="D156" s="106"/>
      <c r="E156" s="106"/>
      <c r="G156"/>
    </row>
    <row r="157" spans="1:7" x14ac:dyDescent="0.3">
      <c r="A157" s="127"/>
      <c r="B157" s="127"/>
      <c r="C157" s="127"/>
      <c r="D157" s="127"/>
      <c r="E157" s="106"/>
      <c r="G157"/>
    </row>
    <row r="158" spans="1:7" x14ac:dyDescent="0.3">
      <c r="E158" s="106"/>
    </row>
    <row r="159" spans="1:7" x14ac:dyDescent="0.3">
      <c r="E159" s="106"/>
    </row>
    <row r="160" spans="1:7" x14ac:dyDescent="0.3">
      <c r="E160" s="106"/>
      <c r="F160" s="106"/>
    </row>
    <row r="161" spans="5:6" x14ac:dyDescent="0.3">
      <c r="E161" s="106"/>
      <c r="F161" s="106"/>
    </row>
    <row r="162" spans="5:6" x14ac:dyDescent="0.3">
      <c r="E162" s="106"/>
      <c r="F162" s="106"/>
    </row>
    <row r="163" spans="5:6" x14ac:dyDescent="0.3">
      <c r="E163" s="106"/>
      <c r="F163" s="106"/>
    </row>
    <row r="164" spans="5:6" x14ac:dyDescent="0.3">
      <c r="E164" s="127"/>
      <c r="F164" s="106"/>
    </row>
  </sheetData>
  <mergeCells count="10">
    <mergeCell ref="I1:K2"/>
    <mergeCell ref="I12:J12"/>
    <mergeCell ref="A136:G136"/>
    <mergeCell ref="A79:I79"/>
    <mergeCell ref="A103:F103"/>
    <mergeCell ref="A33:F33"/>
    <mergeCell ref="A10:E10"/>
    <mergeCell ref="A62:H62"/>
    <mergeCell ref="A72:G72"/>
    <mergeCell ref="A22:E2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B16A-6D16-460A-A54D-76290951BDD4}">
  <dimension ref="A1:E28"/>
  <sheetViews>
    <sheetView topLeftCell="A16" zoomScale="79" workbookViewId="0">
      <selection activeCell="A18" sqref="A18:E28"/>
    </sheetView>
  </sheetViews>
  <sheetFormatPr defaultRowHeight="14" x14ac:dyDescent="0.3"/>
  <cols>
    <col min="2" max="2" width="23.6640625" customWidth="1"/>
    <col min="4" max="4" width="11.9140625" customWidth="1"/>
    <col min="5" max="5" width="12" customWidth="1"/>
  </cols>
  <sheetData>
    <row r="1" spans="1:5" x14ac:dyDescent="0.3">
      <c r="A1" s="164" t="s">
        <v>235</v>
      </c>
      <c r="B1" s="164"/>
      <c r="C1" s="6" t="s">
        <v>236</v>
      </c>
      <c r="D1" s="18">
        <f>设备费价格明细!K12</f>
        <v>5348.356955002163</v>
      </c>
    </row>
    <row r="3" spans="1:5" ht="17.5" x14ac:dyDescent="0.3">
      <c r="A3" s="44" t="s">
        <v>233</v>
      </c>
      <c r="B3" s="43"/>
    </row>
    <row r="4" spans="1:5" x14ac:dyDescent="0.3">
      <c r="A4" s="5" t="s">
        <v>197</v>
      </c>
      <c r="B4" s="5" t="s">
        <v>227</v>
      </c>
      <c r="C4" s="5" t="s">
        <v>229</v>
      </c>
      <c r="D4" s="5" t="s">
        <v>234</v>
      </c>
    </row>
    <row r="5" spans="1:5" x14ac:dyDescent="0.3">
      <c r="A5" s="10">
        <v>1</v>
      </c>
      <c r="B5" s="10" t="s">
        <v>217</v>
      </c>
      <c r="C5" s="10">
        <v>100</v>
      </c>
      <c r="D5" s="20">
        <f>D1</f>
        <v>5348.356955002163</v>
      </c>
    </row>
    <row r="6" spans="1:5" x14ac:dyDescent="0.3">
      <c r="A6" s="9">
        <v>2</v>
      </c>
      <c r="B6" s="9" t="s">
        <v>218</v>
      </c>
      <c r="C6" s="9">
        <v>20</v>
      </c>
      <c r="D6" s="12">
        <f>$D$1*C6*0.01</f>
        <v>1069.6713910004325</v>
      </c>
    </row>
    <row r="7" spans="1:5" x14ac:dyDescent="0.3">
      <c r="A7" s="10">
        <v>3</v>
      </c>
      <c r="B7" s="10" t="s">
        <v>219</v>
      </c>
      <c r="C7" s="10">
        <v>36</v>
      </c>
      <c r="D7" s="13">
        <f>$D$1*C7*0.01</f>
        <v>1925.4085038007788</v>
      </c>
    </row>
    <row r="8" spans="1:5" x14ac:dyDescent="0.3">
      <c r="A8" s="9">
        <v>4</v>
      </c>
      <c r="B8" s="9" t="s">
        <v>220</v>
      </c>
      <c r="C8" s="9">
        <v>14</v>
      </c>
      <c r="D8" s="99">
        <f t="shared" ref="D8:D14" si="0">$D$1*C8*0.01</f>
        <v>748.76997370030278</v>
      </c>
    </row>
    <row r="9" spans="1:5" x14ac:dyDescent="0.3">
      <c r="A9" s="10">
        <v>5</v>
      </c>
      <c r="B9" s="10" t="s">
        <v>221</v>
      </c>
      <c r="C9" s="10">
        <v>12</v>
      </c>
      <c r="D9" s="13">
        <f t="shared" si="0"/>
        <v>641.80283460025953</v>
      </c>
    </row>
    <row r="10" spans="1:5" x14ac:dyDescent="0.3">
      <c r="A10" s="9">
        <v>6</v>
      </c>
      <c r="B10" s="9" t="s">
        <v>222</v>
      </c>
      <c r="C10" s="9">
        <v>2.5</v>
      </c>
      <c r="D10" s="99">
        <f t="shared" si="0"/>
        <v>133.70892387505407</v>
      </c>
    </row>
    <row r="11" spans="1:5" x14ac:dyDescent="0.3">
      <c r="A11" s="10">
        <v>7</v>
      </c>
      <c r="B11" s="10" t="s">
        <v>223</v>
      </c>
      <c r="C11" s="10">
        <v>6</v>
      </c>
      <c r="D11" s="13">
        <f t="shared" si="0"/>
        <v>320.90141730012976</v>
      </c>
    </row>
    <row r="12" spans="1:5" x14ac:dyDescent="0.3">
      <c r="A12" s="9">
        <v>8</v>
      </c>
      <c r="B12" s="9" t="s">
        <v>224</v>
      </c>
      <c r="C12" s="9">
        <v>4</v>
      </c>
      <c r="D12" s="99">
        <f t="shared" si="0"/>
        <v>213.93427820008651</v>
      </c>
    </row>
    <row r="13" spans="1:5" x14ac:dyDescent="0.3">
      <c r="A13" s="10">
        <v>9</v>
      </c>
      <c r="B13" s="10" t="s">
        <v>225</v>
      </c>
      <c r="C13" s="10">
        <v>30</v>
      </c>
      <c r="D13" s="13">
        <f t="shared" si="0"/>
        <v>1604.5070865006489</v>
      </c>
      <c r="E13" t="s">
        <v>232</v>
      </c>
    </row>
    <row r="14" spans="1:5" x14ac:dyDescent="0.3">
      <c r="A14" s="9">
        <v>10</v>
      </c>
      <c r="B14" s="9" t="s">
        <v>226</v>
      </c>
      <c r="C14" s="9">
        <v>20</v>
      </c>
      <c r="D14" s="99">
        <f t="shared" si="0"/>
        <v>1069.6713910004325</v>
      </c>
      <c r="E14">
        <f>SUM(D13:D14)</f>
        <v>2674.1784775010815</v>
      </c>
    </row>
    <row r="15" spans="1:5" x14ac:dyDescent="0.3">
      <c r="A15" s="164" t="s">
        <v>231</v>
      </c>
      <c r="B15" s="164"/>
      <c r="C15" s="164"/>
      <c r="D15" s="20">
        <f>SUM(D5:D14)</f>
        <v>13076.732754980289</v>
      </c>
    </row>
    <row r="17" spans="1:5" ht="17.5" x14ac:dyDescent="0.3">
      <c r="A17" s="44" t="s">
        <v>237</v>
      </c>
      <c r="B17" s="43"/>
    </row>
    <row r="18" spans="1:5" x14ac:dyDescent="0.3">
      <c r="A18" s="132" t="s">
        <v>198</v>
      </c>
      <c r="B18" s="132" t="s">
        <v>199</v>
      </c>
      <c r="C18" s="132" t="s">
        <v>238</v>
      </c>
      <c r="D18" s="132" t="s">
        <v>239</v>
      </c>
      <c r="E18" s="132" t="s">
        <v>201</v>
      </c>
    </row>
    <row r="19" spans="1:5" x14ac:dyDescent="0.3">
      <c r="A19" s="113">
        <v>1</v>
      </c>
      <c r="B19" s="113" t="s">
        <v>203</v>
      </c>
      <c r="C19" s="113">
        <v>0.4</v>
      </c>
      <c r="D19" s="113">
        <f>设备费价格明细!K4</f>
        <v>435.62927999999999</v>
      </c>
      <c r="E19" s="113">
        <f>D19*C19</f>
        <v>174.251712</v>
      </c>
    </row>
    <row r="20" spans="1:5" x14ac:dyDescent="0.3">
      <c r="A20" s="113">
        <v>2</v>
      </c>
      <c r="B20" s="113" t="s">
        <v>205</v>
      </c>
      <c r="C20" s="113">
        <v>0.3</v>
      </c>
      <c r="D20" s="113">
        <f>设备费价格明细!K5</f>
        <v>799.68</v>
      </c>
      <c r="E20" s="113">
        <f t="shared" ref="E20:E27" si="1">D20*C20</f>
        <v>239.90399999999997</v>
      </c>
    </row>
    <row r="21" spans="1:5" x14ac:dyDescent="0.3">
      <c r="A21" s="113">
        <v>3</v>
      </c>
      <c r="B21" s="113" t="s">
        <v>207</v>
      </c>
      <c r="C21" s="113">
        <v>0.3</v>
      </c>
      <c r="D21" s="113">
        <f>设备费价格明细!K6</f>
        <v>1081.9772480000001</v>
      </c>
      <c r="E21" s="113">
        <f t="shared" si="1"/>
        <v>324.59317440000001</v>
      </c>
    </row>
    <row r="22" spans="1:5" x14ac:dyDescent="0.3">
      <c r="A22" s="113">
        <v>4</v>
      </c>
      <c r="B22" s="113" t="s">
        <v>209</v>
      </c>
      <c r="C22" s="113">
        <v>0.3</v>
      </c>
      <c r="D22" s="113">
        <f>设备费价格明细!K7</f>
        <v>420.36242700216133</v>
      </c>
      <c r="E22" s="113">
        <f t="shared" si="1"/>
        <v>126.10872810064839</v>
      </c>
    </row>
    <row r="23" spans="1:5" x14ac:dyDescent="0.3">
      <c r="A23" s="113">
        <v>5</v>
      </c>
      <c r="B23" s="113" t="s">
        <v>211</v>
      </c>
      <c r="C23" s="113">
        <v>0.2</v>
      </c>
      <c r="D23" s="113">
        <f>设备费价格明细!K8</f>
        <v>542.40000000000009</v>
      </c>
      <c r="E23" s="113">
        <f t="shared" si="1"/>
        <v>108.48000000000002</v>
      </c>
    </row>
    <row r="24" spans="1:5" x14ac:dyDescent="0.3">
      <c r="A24" s="113">
        <v>6</v>
      </c>
      <c r="B24" s="113" t="s">
        <v>214</v>
      </c>
      <c r="C24" s="113">
        <v>0.2</v>
      </c>
      <c r="D24" s="113">
        <f>设备费价格明细!K11</f>
        <v>19.060000000000006</v>
      </c>
      <c r="E24" s="113">
        <f t="shared" si="1"/>
        <v>3.8120000000000012</v>
      </c>
    </row>
    <row r="25" spans="1:5" x14ac:dyDescent="0.3">
      <c r="A25" s="113">
        <v>7</v>
      </c>
      <c r="B25" s="113" t="s">
        <v>240</v>
      </c>
      <c r="C25" s="113">
        <v>0.4</v>
      </c>
      <c r="D25" s="113">
        <f>D7</f>
        <v>1925.4085038007788</v>
      </c>
      <c r="E25" s="113">
        <f t="shared" si="1"/>
        <v>770.1634015203116</v>
      </c>
    </row>
    <row r="26" spans="1:5" x14ac:dyDescent="0.3">
      <c r="A26" s="113">
        <v>8</v>
      </c>
      <c r="B26" s="113" t="s">
        <v>241</v>
      </c>
      <c r="C26" s="113">
        <v>0.2</v>
      </c>
      <c r="D26" s="113">
        <f>D8</f>
        <v>748.76997370030278</v>
      </c>
      <c r="E26" s="113">
        <f t="shared" si="1"/>
        <v>149.75399474006056</v>
      </c>
    </row>
    <row r="27" spans="1:5" x14ac:dyDescent="0.3">
      <c r="A27" s="113">
        <v>9</v>
      </c>
      <c r="B27" s="113" t="s">
        <v>242</v>
      </c>
      <c r="C27" s="113">
        <v>0.2</v>
      </c>
      <c r="D27" s="113">
        <f>D9+D10+D11+D12+D13+D14</f>
        <v>3984.5259314766117</v>
      </c>
      <c r="E27" s="113">
        <f t="shared" si="1"/>
        <v>796.90518629532244</v>
      </c>
    </row>
    <row r="28" spans="1:5" x14ac:dyDescent="0.3">
      <c r="A28" s="158" t="s">
        <v>216</v>
      </c>
      <c r="B28" s="158"/>
      <c r="C28" s="158"/>
      <c r="D28" s="158"/>
      <c r="E28" s="113">
        <f>SUM(E19:E27)</f>
        <v>2693.9721970563428</v>
      </c>
    </row>
  </sheetData>
  <mergeCells count="3">
    <mergeCell ref="A15:C15"/>
    <mergeCell ref="A1:B1"/>
    <mergeCell ref="A28:D28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A661-C0B1-4AC2-A78E-6DF6BE97DE18}">
  <dimension ref="A1:F69"/>
  <sheetViews>
    <sheetView topLeftCell="A51" zoomScale="75" zoomScaleNormal="75" workbookViewId="0">
      <selection activeCell="C69" sqref="C69"/>
    </sheetView>
  </sheetViews>
  <sheetFormatPr defaultRowHeight="14" x14ac:dyDescent="0.3"/>
  <cols>
    <col min="2" max="2" width="19.75" customWidth="1"/>
    <col min="3" max="3" width="16.4140625" customWidth="1"/>
    <col min="4" max="4" width="19.08203125" customWidth="1"/>
    <col min="5" max="5" width="15.9140625" customWidth="1"/>
  </cols>
  <sheetData>
    <row r="1" spans="1:5" x14ac:dyDescent="0.3">
      <c r="A1" s="164" t="s">
        <v>202</v>
      </c>
      <c r="B1" s="164"/>
      <c r="C1" s="6" t="s">
        <v>236</v>
      </c>
      <c r="D1" s="6">
        <f>设备购置和安装费!D15</f>
        <v>13076.732754980289</v>
      </c>
    </row>
    <row r="3" spans="1:5" ht="17.5" x14ac:dyDescent="0.3">
      <c r="A3" s="2" t="s">
        <v>243</v>
      </c>
    </row>
    <row r="4" spans="1:5" x14ac:dyDescent="0.3">
      <c r="A4" s="5" t="s">
        <v>198</v>
      </c>
      <c r="B4" s="5" t="s">
        <v>228</v>
      </c>
      <c r="C4" s="5" t="s">
        <v>230</v>
      </c>
      <c r="D4" s="5" t="s">
        <v>244</v>
      </c>
      <c r="E4" s="5" t="s">
        <v>201</v>
      </c>
    </row>
    <row r="5" spans="1:5" x14ac:dyDescent="0.3">
      <c r="A5" s="6">
        <v>1</v>
      </c>
      <c r="B5" s="6" t="s">
        <v>438</v>
      </c>
      <c r="C5" s="6">
        <v>40</v>
      </c>
      <c r="D5" s="6">
        <f>D1</f>
        <v>13076.732754980289</v>
      </c>
      <c r="E5" s="6">
        <f>D5*C5*0.01</f>
        <v>5230.6931019921158</v>
      </c>
    </row>
    <row r="6" spans="1:5" x14ac:dyDescent="0.3">
      <c r="A6" s="7">
        <v>2</v>
      </c>
      <c r="B6" s="22" t="s">
        <v>439</v>
      </c>
      <c r="C6" s="7">
        <v>20</v>
      </c>
      <c r="D6" s="7">
        <f>D1</f>
        <v>13076.732754980289</v>
      </c>
      <c r="E6" s="7">
        <f>D6*C6*0.01</f>
        <v>2615.3465509960579</v>
      </c>
    </row>
    <row r="7" spans="1:5" x14ac:dyDescent="0.3">
      <c r="A7" s="176" t="s">
        <v>231</v>
      </c>
      <c r="B7" s="177"/>
      <c r="C7" s="177"/>
      <c r="D7" s="178"/>
      <c r="E7" s="6">
        <f>SUM(E5:E6)</f>
        <v>7846.0396529881737</v>
      </c>
    </row>
    <row r="9" spans="1:5" ht="17.5" x14ac:dyDescent="0.3">
      <c r="A9" s="2" t="s">
        <v>245</v>
      </c>
    </row>
    <row r="10" spans="1:5" x14ac:dyDescent="0.3">
      <c r="A10" s="8" t="s">
        <v>198</v>
      </c>
      <c r="B10" s="8" t="s">
        <v>227</v>
      </c>
      <c r="C10" s="8" t="s">
        <v>229</v>
      </c>
      <c r="D10" s="8" t="s">
        <v>246</v>
      </c>
      <c r="E10" s="8" t="s">
        <v>200</v>
      </c>
    </row>
    <row r="11" spans="1:5" x14ac:dyDescent="0.3">
      <c r="A11" s="10">
        <v>1</v>
      </c>
      <c r="B11" s="10" t="s">
        <v>247</v>
      </c>
      <c r="C11" s="10">
        <v>10</v>
      </c>
      <c r="D11" s="10">
        <f>E7</f>
        <v>7846.0396529881737</v>
      </c>
      <c r="E11" s="10">
        <f>D11*C11*0.01</f>
        <v>784.60396529881734</v>
      </c>
    </row>
    <row r="14" spans="1:5" ht="17.5" x14ac:dyDescent="0.3">
      <c r="A14" s="2" t="s">
        <v>248</v>
      </c>
    </row>
    <row r="15" spans="1:5" x14ac:dyDescent="0.3">
      <c r="A15" s="8" t="s">
        <v>198</v>
      </c>
      <c r="B15" s="8" t="s">
        <v>227</v>
      </c>
      <c r="C15" s="8" t="s">
        <v>229</v>
      </c>
      <c r="D15" s="8" t="s">
        <v>246</v>
      </c>
      <c r="E15" s="8" t="s">
        <v>200</v>
      </c>
    </row>
    <row r="16" spans="1:5" x14ac:dyDescent="0.3">
      <c r="A16" s="10">
        <v>1</v>
      </c>
      <c r="B16" s="10" t="s">
        <v>249</v>
      </c>
      <c r="C16" s="10">
        <v>3</v>
      </c>
      <c r="D16" s="10">
        <f>E7+E11</f>
        <v>8630.6436182869911</v>
      </c>
      <c r="E16" s="10">
        <f>D16*C16*0.01</f>
        <v>258.91930854860976</v>
      </c>
    </row>
    <row r="17" spans="1:5" x14ac:dyDescent="0.3">
      <c r="A17" s="9">
        <v>2</v>
      </c>
      <c r="B17" s="9" t="s">
        <v>250</v>
      </c>
      <c r="C17" s="9">
        <v>7</v>
      </c>
      <c r="D17" s="9">
        <f>E16</f>
        <v>258.91930854860976</v>
      </c>
      <c r="E17" s="9">
        <f>D17*C17*0.01</f>
        <v>18.124351598402683</v>
      </c>
    </row>
    <row r="18" spans="1:5" x14ac:dyDescent="0.3">
      <c r="A18" s="10">
        <v>3</v>
      </c>
      <c r="B18" s="10" t="s">
        <v>251</v>
      </c>
      <c r="C18" s="10">
        <v>3</v>
      </c>
      <c r="D18" s="10">
        <f>E16</f>
        <v>258.91930854860976</v>
      </c>
      <c r="E18" s="10">
        <f>D18*C18*0.01</f>
        <v>7.7675792564582933</v>
      </c>
    </row>
    <row r="19" spans="1:5" x14ac:dyDescent="0.3">
      <c r="A19" s="175" t="s">
        <v>231</v>
      </c>
      <c r="B19" s="175"/>
      <c r="C19" s="175"/>
      <c r="D19" s="175"/>
      <c r="E19" s="9">
        <f>SUM(E16:E18)</f>
        <v>284.81123940347078</v>
      </c>
    </row>
    <row r="21" spans="1:5" ht="17.5" x14ac:dyDescent="0.3">
      <c r="A21" s="44" t="s">
        <v>252</v>
      </c>
      <c r="B21" s="43"/>
    </row>
    <row r="22" spans="1:5" x14ac:dyDescent="0.3">
      <c r="A22" s="103" t="s">
        <v>197</v>
      </c>
      <c r="B22" s="103" t="s">
        <v>189</v>
      </c>
      <c r="C22" s="103" t="s">
        <v>200</v>
      </c>
    </row>
    <row r="23" spans="1:5" x14ac:dyDescent="0.3">
      <c r="A23" s="104">
        <v>1</v>
      </c>
      <c r="B23" s="104" t="s">
        <v>253</v>
      </c>
      <c r="C23" s="104">
        <f>E7</f>
        <v>7846.0396529881737</v>
      </c>
    </row>
    <row r="24" spans="1:5" x14ac:dyDescent="0.3">
      <c r="A24" s="105">
        <v>2</v>
      </c>
      <c r="B24" s="105" t="s">
        <v>247</v>
      </c>
      <c r="C24" s="105">
        <f>E11</f>
        <v>784.60396529881734</v>
      </c>
    </row>
    <row r="25" spans="1:5" x14ac:dyDescent="0.3">
      <c r="A25" s="104">
        <v>3</v>
      </c>
      <c r="B25" s="104" t="s">
        <v>254</v>
      </c>
      <c r="C25" s="104">
        <f>E19</f>
        <v>284.81123940347078</v>
      </c>
    </row>
    <row r="26" spans="1:5" x14ac:dyDescent="0.3">
      <c r="A26" s="175" t="s">
        <v>255</v>
      </c>
      <c r="B26" s="175"/>
      <c r="C26" s="105">
        <f>SUM(C23:C25)</f>
        <v>8915.4548576904617</v>
      </c>
    </row>
    <row r="28" spans="1:5" ht="17.5" x14ac:dyDescent="0.3">
      <c r="A28" s="44" t="s">
        <v>256</v>
      </c>
      <c r="B28" s="43"/>
      <c r="C28" s="43"/>
    </row>
    <row r="29" spans="1:5" x14ac:dyDescent="0.3">
      <c r="A29" s="8" t="s">
        <v>197</v>
      </c>
      <c r="B29" s="8" t="s">
        <v>227</v>
      </c>
      <c r="C29" s="8" t="s">
        <v>200</v>
      </c>
    </row>
    <row r="30" spans="1:5" x14ac:dyDescent="0.3">
      <c r="A30" s="10">
        <v>1</v>
      </c>
      <c r="B30" s="10" t="s">
        <v>257</v>
      </c>
      <c r="C30" s="10">
        <f>D1</f>
        <v>13076.732754980289</v>
      </c>
    </row>
    <row r="31" spans="1:5" x14ac:dyDescent="0.3">
      <c r="A31" s="9">
        <v>2</v>
      </c>
      <c r="B31" s="9" t="s">
        <v>258</v>
      </c>
      <c r="C31" s="9">
        <f>C26</f>
        <v>8915.4548576904617</v>
      </c>
    </row>
    <row r="32" spans="1:5" x14ac:dyDescent="0.3">
      <c r="A32" s="10">
        <v>3</v>
      </c>
      <c r="B32" s="10" t="s">
        <v>259</v>
      </c>
      <c r="C32" s="10">
        <f>设备购置和安装费!E28</f>
        <v>2693.9721970563428</v>
      </c>
    </row>
    <row r="33" spans="1:6" x14ac:dyDescent="0.3">
      <c r="A33" s="173" t="s">
        <v>255</v>
      </c>
      <c r="B33" s="174"/>
      <c r="C33" s="9">
        <f>SUM(C30:C32)</f>
        <v>24686.159809727094</v>
      </c>
    </row>
    <row r="35" spans="1:6" ht="17.5" x14ac:dyDescent="0.3">
      <c r="A35" s="2" t="s">
        <v>260</v>
      </c>
    </row>
    <row r="36" spans="1:6" x14ac:dyDescent="0.3">
      <c r="A36" s="8" t="s">
        <v>197</v>
      </c>
      <c r="B36" s="8" t="s">
        <v>227</v>
      </c>
      <c r="C36" s="8" t="s">
        <v>440</v>
      </c>
      <c r="D36" s="8" t="s">
        <v>261</v>
      </c>
      <c r="E36" s="8" t="s">
        <v>200</v>
      </c>
    </row>
    <row r="37" spans="1:6" x14ac:dyDescent="0.3">
      <c r="A37" s="10">
        <v>1</v>
      </c>
      <c r="B37" s="10" t="s">
        <v>257</v>
      </c>
      <c r="C37" s="10">
        <v>10.3315</v>
      </c>
      <c r="D37" s="10">
        <v>5.6250000000000001E-2</v>
      </c>
      <c r="E37" s="10">
        <f>D37*C37*10000</f>
        <v>5811.4687500000009</v>
      </c>
    </row>
    <row r="38" spans="1:6" x14ac:dyDescent="0.3">
      <c r="A38" s="9">
        <v>2</v>
      </c>
      <c r="B38" s="9" t="s">
        <v>262</v>
      </c>
      <c r="C38" s="9" t="s">
        <v>263</v>
      </c>
      <c r="D38" s="9">
        <v>200</v>
      </c>
      <c r="E38" s="9">
        <v>100</v>
      </c>
    </row>
    <row r="40" spans="1:6" ht="17.5" x14ac:dyDescent="0.3">
      <c r="A40" s="2" t="s">
        <v>264</v>
      </c>
    </row>
    <row r="41" spans="1:6" x14ac:dyDescent="0.3">
      <c r="A41" s="8" t="s">
        <v>197</v>
      </c>
      <c r="B41" s="8" t="s">
        <v>227</v>
      </c>
      <c r="C41" s="8" t="s">
        <v>229</v>
      </c>
      <c r="D41" s="8" t="s">
        <v>246</v>
      </c>
      <c r="E41" s="8" t="s">
        <v>200</v>
      </c>
    </row>
    <row r="42" spans="1:6" x14ac:dyDescent="0.3">
      <c r="A42" s="10">
        <v>1</v>
      </c>
      <c r="B42" s="10" t="s">
        <v>265</v>
      </c>
      <c r="C42" s="10">
        <v>0.8</v>
      </c>
      <c r="D42" s="10">
        <f>C33</f>
        <v>24686.159809727094</v>
      </c>
      <c r="E42" s="10">
        <f>D42*C42*0.01</f>
        <v>197.48927847781678</v>
      </c>
    </row>
    <row r="43" spans="1:6" x14ac:dyDescent="0.3">
      <c r="A43" s="9">
        <v>2</v>
      </c>
      <c r="B43" s="9" t="s">
        <v>266</v>
      </c>
      <c r="C43" s="9">
        <v>1</v>
      </c>
      <c r="D43" s="17">
        <f>D42</f>
        <v>24686.159809727094</v>
      </c>
      <c r="E43" s="9">
        <f>D43*C43*0.01</f>
        <v>246.86159809727096</v>
      </c>
    </row>
    <row r="44" spans="1:6" x14ac:dyDescent="0.3">
      <c r="A44" s="10">
        <v>3</v>
      </c>
      <c r="B44" s="10" t="s">
        <v>267</v>
      </c>
      <c r="C44" s="10" t="s">
        <v>263</v>
      </c>
      <c r="D44" s="10" t="s">
        <v>263</v>
      </c>
      <c r="E44" s="10">
        <v>100</v>
      </c>
    </row>
    <row r="45" spans="1:6" x14ac:dyDescent="0.3">
      <c r="A45" s="9">
        <v>4</v>
      </c>
      <c r="B45" s="9" t="s">
        <v>268</v>
      </c>
      <c r="C45" s="9" t="s">
        <v>263</v>
      </c>
      <c r="D45" s="9" t="s">
        <v>263</v>
      </c>
      <c r="E45" s="9">
        <v>50</v>
      </c>
    </row>
    <row r="47" spans="1:6" x14ac:dyDescent="0.3">
      <c r="A47" s="8" t="s">
        <v>197</v>
      </c>
      <c r="B47" s="8" t="s">
        <v>227</v>
      </c>
      <c r="C47" s="8" t="s">
        <v>269</v>
      </c>
      <c r="D47" s="8" t="s">
        <v>270</v>
      </c>
      <c r="E47" s="8" t="s">
        <v>271</v>
      </c>
      <c r="F47" s="8" t="s">
        <v>272</v>
      </c>
    </row>
    <row r="48" spans="1:6" x14ac:dyDescent="0.3">
      <c r="A48" s="10">
        <v>1</v>
      </c>
      <c r="B48" s="10" t="s">
        <v>273</v>
      </c>
      <c r="C48" s="10">
        <v>52</v>
      </c>
      <c r="D48" s="10">
        <v>14000</v>
      </c>
      <c r="E48" s="10">
        <v>45</v>
      </c>
      <c r="F48" s="10">
        <f>D48*C48/10000+E48</f>
        <v>117.8</v>
      </c>
    </row>
    <row r="49" spans="1:6" x14ac:dyDescent="0.3">
      <c r="A49" s="9">
        <v>2</v>
      </c>
      <c r="B49" s="9" t="s">
        <v>274</v>
      </c>
      <c r="C49" s="9">
        <v>52</v>
      </c>
      <c r="D49" s="9">
        <v>1000</v>
      </c>
      <c r="E49" s="9">
        <v>0</v>
      </c>
      <c r="F49" s="9">
        <f>D49*C49/10000+E49</f>
        <v>5.2</v>
      </c>
    </row>
    <row r="50" spans="1:6" x14ac:dyDescent="0.3">
      <c r="A50" s="164" t="s">
        <v>275</v>
      </c>
      <c r="B50" s="164"/>
      <c r="C50" s="164"/>
      <c r="D50" s="164"/>
      <c r="E50" s="164"/>
      <c r="F50" s="10">
        <f>SUM(F48:F49,E42:E45)</f>
        <v>717.3508765750878</v>
      </c>
    </row>
    <row r="52" spans="1:6" ht="17.5" x14ac:dyDescent="0.3">
      <c r="A52" s="44" t="s">
        <v>276</v>
      </c>
      <c r="B52" s="43"/>
    </row>
    <row r="53" spans="1:6" x14ac:dyDescent="0.3">
      <c r="A53" s="8" t="s">
        <v>197</v>
      </c>
      <c r="B53" s="8" t="s">
        <v>189</v>
      </c>
      <c r="C53" s="8" t="s">
        <v>200</v>
      </c>
    </row>
    <row r="54" spans="1:6" x14ac:dyDescent="0.3">
      <c r="A54" s="10">
        <v>1</v>
      </c>
      <c r="B54" s="10" t="s">
        <v>277</v>
      </c>
      <c r="C54" s="10">
        <f>C33</f>
        <v>24686.159809727094</v>
      </c>
    </row>
    <row r="55" spans="1:6" x14ac:dyDescent="0.3">
      <c r="A55" s="9">
        <v>2</v>
      </c>
      <c r="B55" s="9" t="s">
        <v>278</v>
      </c>
      <c r="C55" s="9">
        <f>E37+E38</f>
        <v>5911.4687500000009</v>
      </c>
    </row>
    <row r="56" spans="1:6" x14ac:dyDescent="0.3">
      <c r="A56" s="10">
        <v>3</v>
      </c>
      <c r="B56" s="10" t="s">
        <v>279</v>
      </c>
      <c r="C56" s="10">
        <f>F50+SUM(E42:E45)</f>
        <v>1311.7017531501756</v>
      </c>
    </row>
    <row r="57" spans="1:6" x14ac:dyDescent="0.3">
      <c r="A57" s="9">
        <v>4</v>
      </c>
      <c r="B57" s="9" t="s">
        <v>280</v>
      </c>
      <c r="C57" s="9">
        <f>SUM(C54:C56)*0.12</f>
        <v>3829.1196375452723</v>
      </c>
    </row>
    <row r="58" spans="1:6" x14ac:dyDescent="0.3">
      <c r="A58" s="164" t="s">
        <v>281</v>
      </c>
      <c r="B58" s="164"/>
      <c r="C58" s="10">
        <f>SUM(C54:C57)</f>
        <v>35738.449950422546</v>
      </c>
    </row>
    <row r="60" spans="1:6" ht="17.5" x14ac:dyDescent="0.3">
      <c r="A60" s="44" t="s">
        <v>282</v>
      </c>
      <c r="B60" s="43"/>
    </row>
    <row r="61" spans="1:6" x14ac:dyDescent="0.3">
      <c r="A61" s="8" t="s">
        <v>283</v>
      </c>
      <c r="B61" s="8" t="s">
        <v>189</v>
      </c>
      <c r="C61" s="8" t="s">
        <v>200</v>
      </c>
    </row>
    <row r="62" spans="1:6" x14ac:dyDescent="0.3">
      <c r="A62" s="10">
        <v>1</v>
      </c>
      <c r="B62" s="10" t="s">
        <v>284</v>
      </c>
      <c r="C62" s="10">
        <f>C58</f>
        <v>35738.449950422546</v>
      </c>
    </row>
    <row r="63" spans="1:6" x14ac:dyDescent="0.3">
      <c r="A63" s="9">
        <v>1.1000000000000001</v>
      </c>
      <c r="B63" s="9" t="s">
        <v>277</v>
      </c>
      <c r="C63" s="9">
        <f>C54</f>
        <v>24686.159809727094</v>
      </c>
    </row>
    <row r="64" spans="1:6" x14ac:dyDescent="0.3">
      <c r="A64" s="10">
        <v>1.2</v>
      </c>
      <c r="B64" s="10" t="s">
        <v>278</v>
      </c>
      <c r="C64" s="10">
        <f>C55</f>
        <v>5911.4687500000009</v>
      </c>
    </row>
    <row r="65" spans="1:3" x14ac:dyDescent="0.3">
      <c r="A65" s="9">
        <v>1.3</v>
      </c>
      <c r="B65" s="9" t="s">
        <v>279</v>
      </c>
      <c r="C65" s="9">
        <f>C56</f>
        <v>1311.7017531501756</v>
      </c>
    </row>
    <row r="66" spans="1:3" x14ac:dyDescent="0.3">
      <c r="A66" s="10">
        <v>1.4</v>
      </c>
      <c r="B66" s="10" t="s">
        <v>280</v>
      </c>
      <c r="C66" s="10">
        <f>C57</f>
        <v>3829.1196375452723</v>
      </c>
    </row>
    <row r="67" spans="1:3" x14ac:dyDescent="0.3">
      <c r="A67" s="9">
        <v>2</v>
      </c>
      <c r="B67" s="9" t="s">
        <v>285</v>
      </c>
      <c r="C67" s="12">
        <f>建设期贷款利息!C14-建设期贷款利息!C10</f>
        <v>1798.0464884062458</v>
      </c>
    </row>
    <row r="68" spans="1:3" x14ac:dyDescent="0.3">
      <c r="A68" s="10">
        <v>3</v>
      </c>
      <c r="B68" s="10" t="s">
        <v>286</v>
      </c>
      <c r="C68" s="13">
        <f>建设期贷款利息!G19</f>
        <v>5360.7674925633828</v>
      </c>
    </row>
    <row r="69" spans="1:3" x14ac:dyDescent="0.3">
      <c r="A69" s="175" t="s">
        <v>255</v>
      </c>
      <c r="B69" s="175"/>
      <c r="C69" s="12">
        <f>SUM(C62,C67:C68)</f>
        <v>42897.263931392175</v>
      </c>
    </row>
  </sheetData>
  <mergeCells count="8">
    <mergeCell ref="A58:B58"/>
    <mergeCell ref="A69:B69"/>
    <mergeCell ref="A1:B1"/>
    <mergeCell ref="A7:D7"/>
    <mergeCell ref="A19:D19"/>
    <mergeCell ref="A26:B26"/>
    <mergeCell ref="A50:E50"/>
    <mergeCell ref="A33:B33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B1BC-6A8C-4636-B497-B219B2D9E66D}">
  <dimension ref="A1:I42"/>
  <sheetViews>
    <sheetView zoomScale="67" zoomScaleNormal="67" workbookViewId="0">
      <selection activeCell="G19" sqref="G19"/>
    </sheetView>
  </sheetViews>
  <sheetFormatPr defaultRowHeight="14" x14ac:dyDescent="0.3"/>
  <cols>
    <col min="1" max="1" width="19.6640625" customWidth="1"/>
    <col min="2" max="2" width="17.25" customWidth="1"/>
    <col min="3" max="3" width="11.75" customWidth="1"/>
    <col min="4" max="6" width="9.08203125" bestFit="1" customWidth="1"/>
    <col min="7" max="7" width="12" customWidth="1"/>
    <col min="8" max="10" width="8.75" bestFit="1" customWidth="1"/>
  </cols>
  <sheetData>
    <row r="1" spans="1:9" x14ac:dyDescent="0.3">
      <c r="A1" s="187" t="s">
        <v>292</v>
      </c>
      <c r="B1" s="187"/>
    </row>
    <row r="2" spans="1:9" x14ac:dyDescent="0.3">
      <c r="A2" s="103" t="s">
        <v>287</v>
      </c>
      <c r="B2" s="103" t="s">
        <v>291</v>
      </c>
    </row>
    <row r="3" spans="1:9" x14ac:dyDescent="0.3">
      <c r="A3" s="104" t="s">
        <v>288</v>
      </c>
      <c r="B3" s="104">
        <v>4.3499999999999996</v>
      </c>
    </row>
    <row r="4" spans="1:9" x14ac:dyDescent="0.3">
      <c r="A4" s="105" t="s">
        <v>289</v>
      </c>
      <c r="B4" s="105">
        <v>4.75</v>
      </c>
    </row>
    <row r="5" spans="1:9" x14ac:dyDescent="0.3">
      <c r="A5" s="104" t="s">
        <v>290</v>
      </c>
      <c r="B5" s="104">
        <v>4.9000000000000004</v>
      </c>
    </row>
    <row r="7" spans="1:9" x14ac:dyDescent="0.3">
      <c r="A7" s="165" t="s">
        <v>293</v>
      </c>
      <c r="B7" s="165"/>
    </row>
    <row r="8" spans="1:9" x14ac:dyDescent="0.3">
      <c r="A8" s="166" t="s">
        <v>283</v>
      </c>
      <c r="B8" s="166" t="s">
        <v>189</v>
      </c>
      <c r="C8" s="134" t="s">
        <v>294</v>
      </c>
      <c r="D8" s="135"/>
      <c r="E8" s="135"/>
      <c r="F8" s="135"/>
      <c r="G8" s="135"/>
      <c r="H8" s="135"/>
      <c r="I8" s="135"/>
    </row>
    <row r="9" spans="1:9" x14ac:dyDescent="0.3">
      <c r="A9" s="166"/>
      <c r="B9" s="166"/>
      <c r="C9" s="8">
        <v>1</v>
      </c>
      <c r="D9" s="8">
        <v>2</v>
      </c>
      <c r="E9" s="8">
        <v>3</v>
      </c>
      <c r="F9" s="8">
        <v>4</v>
      </c>
      <c r="G9" s="8">
        <v>5</v>
      </c>
      <c r="H9" s="133">
        <v>6</v>
      </c>
      <c r="I9" s="133">
        <v>7</v>
      </c>
    </row>
    <row r="10" spans="1:9" x14ac:dyDescent="0.3">
      <c r="A10" s="10">
        <v>1</v>
      </c>
      <c r="B10" s="10" t="s">
        <v>295</v>
      </c>
      <c r="C10" s="20">
        <v>10000</v>
      </c>
      <c r="D10" s="20">
        <f t="shared" ref="D10:I10" si="0">C12-C13</f>
        <v>10245</v>
      </c>
      <c r="E10" s="20">
        <f t="shared" si="0"/>
        <v>8747.0049999999992</v>
      </c>
      <c r="F10" s="20">
        <f t="shared" si="0"/>
        <v>7175.6082449999994</v>
      </c>
      <c r="G10" s="20">
        <f t="shared" si="0"/>
        <v>5527.2130490049994</v>
      </c>
      <c r="H10" s="20">
        <f t="shared" si="0"/>
        <v>3798.046488406244</v>
      </c>
      <c r="I10" s="20">
        <f t="shared" si="0"/>
        <v>1984.1507663381499</v>
      </c>
    </row>
    <row r="11" spans="1:9" x14ac:dyDescent="0.3">
      <c r="A11" s="9">
        <v>2</v>
      </c>
      <c r="B11" s="9" t="s">
        <v>296</v>
      </c>
      <c r="C11" s="21">
        <f>C10/2*0.049</f>
        <v>245</v>
      </c>
      <c r="D11" s="21">
        <f t="shared" ref="D11:I11" si="1">D10*0.049</f>
        <v>502.005</v>
      </c>
      <c r="E11" s="21">
        <f t="shared" si="1"/>
        <v>428.60324499999996</v>
      </c>
      <c r="F11" s="21">
        <f t="shared" si="1"/>
        <v>351.60480400500001</v>
      </c>
      <c r="G11" s="21">
        <f t="shared" si="1"/>
        <v>270.83343940124496</v>
      </c>
      <c r="H11" s="21">
        <f t="shared" si="1"/>
        <v>186.10427793190595</v>
      </c>
      <c r="I11" s="21">
        <f t="shared" si="1"/>
        <v>97.223387550569342</v>
      </c>
    </row>
    <row r="12" spans="1:9" x14ac:dyDescent="0.3">
      <c r="A12" s="10">
        <v>3</v>
      </c>
      <c r="B12" s="10" t="s">
        <v>297</v>
      </c>
      <c r="C12" s="20">
        <f>C10+C11</f>
        <v>10245</v>
      </c>
      <c r="D12" s="20">
        <f t="shared" ref="D12:I12" si="2">D11+D10</f>
        <v>10747.004999999999</v>
      </c>
      <c r="E12" s="20">
        <f t="shared" si="2"/>
        <v>9175.6082449999994</v>
      </c>
      <c r="F12" s="20">
        <f t="shared" si="2"/>
        <v>7527.2130490049994</v>
      </c>
      <c r="G12" s="20">
        <f t="shared" si="2"/>
        <v>5798.046488406244</v>
      </c>
      <c r="H12" s="20">
        <f t="shared" si="2"/>
        <v>3984.1507663381499</v>
      </c>
      <c r="I12" s="20">
        <f t="shared" si="2"/>
        <v>2081.3741538887193</v>
      </c>
    </row>
    <row r="13" spans="1:9" x14ac:dyDescent="0.3">
      <c r="A13" s="9">
        <v>4</v>
      </c>
      <c r="B13" s="9" t="s">
        <v>298</v>
      </c>
      <c r="C13" s="21">
        <v>0</v>
      </c>
      <c r="D13" s="21">
        <v>2000</v>
      </c>
      <c r="E13" s="21">
        <f>D13</f>
        <v>2000</v>
      </c>
      <c r="F13" s="21">
        <f>E13</f>
        <v>2000</v>
      </c>
      <c r="G13" s="21">
        <f>F13</f>
        <v>2000</v>
      </c>
      <c r="H13" s="21">
        <f>G13</f>
        <v>2000</v>
      </c>
      <c r="I13" s="21">
        <f>I12</f>
        <v>2081.3741538887193</v>
      </c>
    </row>
    <row r="14" spans="1:9" x14ac:dyDescent="0.3">
      <c r="A14" s="176" t="s">
        <v>299</v>
      </c>
      <c r="B14" s="178"/>
      <c r="C14" s="179">
        <f>SUM(C10,C11:G11)</f>
        <v>11798.046488406246</v>
      </c>
      <c r="D14" s="180"/>
      <c r="E14" s="180"/>
      <c r="F14" s="180"/>
      <c r="G14" s="180"/>
      <c r="H14" s="180"/>
      <c r="I14" s="180"/>
    </row>
    <row r="15" spans="1:9" x14ac:dyDescent="0.3">
      <c r="A15" s="173" t="s">
        <v>300</v>
      </c>
      <c r="B15" s="174"/>
      <c r="C15" s="181">
        <f>SUM(C11:G11)</f>
        <v>1798.0464884062449</v>
      </c>
      <c r="D15" s="182"/>
      <c r="E15" s="182"/>
      <c r="F15" s="182"/>
      <c r="G15" s="182"/>
      <c r="H15" s="182"/>
      <c r="I15" s="182"/>
    </row>
    <row r="16" spans="1:9" ht="17.5" x14ac:dyDescent="0.3">
      <c r="A16" s="2" t="s">
        <v>301</v>
      </c>
    </row>
    <row r="17" spans="1:8" x14ac:dyDescent="0.3">
      <c r="A17" s="8" t="s">
        <v>190</v>
      </c>
      <c r="B17" s="8" t="s">
        <v>302</v>
      </c>
      <c r="D17" s="43" t="s">
        <v>484</v>
      </c>
      <c r="E17" s="43"/>
    </row>
    <row r="18" spans="1:8" x14ac:dyDescent="0.3">
      <c r="A18" s="10" t="s">
        <v>303</v>
      </c>
      <c r="B18" s="10">
        <f>产品成本汇总表!C55/12</f>
        <v>37657.698369357364</v>
      </c>
      <c r="D18" s="41" t="s">
        <v>349</v>
      </c>
      <c r="E18" s="41" t="s">
        <v>343</v>
      </c>
      <c r="F18" s="41" t="s">
        <v>350</v>
      </c>
      <c r="G18" s="41" t="s">
        <v>352</v>
      </c>
    </row>
    <row r="19" spans="1:8" x14ac:dyDescent="0.3">
      <c r="A19" s="9" t="s">
        <v>304</v>
      </c>
      <c r="B19" s="9">
        <f>直接材料费用表!E9/12</f>
        <v>14357.81412312859</v>
      </c>
      <c r="D19" s="42">
        <v>1</v>
      </c>
      <c r="E19" s="42" t="s">
        <v>329</v>
      </c>
      <c r="F19" s="42">
        <v>15</v>
      </c>
      <c r="G19" s="42">
        <f>(建设投资估算表!C62)*(建设期贷款利息!F19)*0.01</f>
        <v>5360.7674925633828</v>
      </c>
    </row>
    <row r="20" spans="1:8" x14ac:dyDescent="0.3">
      <c r="A20" s="10" t="s">
        <v>305</v>
      </c>
      <c r="B20" s="10">
        <f>直接材料费用表!F22/12</f>
        <v>22768.598076793325</v>
      </c>
    </row>
    <row r="21" spans="1:8" x14ac:dyDescent="0.3">
      <c r="A21" s="9" t="s">
        <v>306</v>
      </c>
      <c r="B21" s="9">
        <f>B19+B20+产品成本汇总表!C51/12+工资和生活用水费!E26/12</f>
        <v>37206.059429921916</v>
      </c>
    </row>
    <row r="22" spans="1:8" x14ac:dyDescent="0.3">
      <c r="A22" s="10" t="s">
        <v>307</v>
      </c>
      <c r="B22" s="10">
        <f>B18-B21</f>
        <v>451.63893943544826</v>
      </c>
    </row>
    <row r="23" spans="1:8" x14ac:dyDescent="0.3">
      <c r="A23" s="9" t="s">
        <v>308</v>
      </c>
      <c r="B23" s="12">
        <f>B19+B20+B21+B22</f>
        <v>74784.110569279277</v>
      </c>
    </row>
    <row r="24" spans="1:8" x14ac:dyDescent="0.3">
      <c r="A24" s="10" t="s">
        <v>309</v>
      </c>
      <c r="B24" s="10">
        <f>工资和生活用水费!E26/12</f>
        <v>53.195999999999998</v>
      </c>
    </row>
    <row r="25" spans="1:8" x14ac:dyDescent="0.3">
      <c r="A25" s="9" t="s">
        <v>310</v>
      </c>
      <c r="B25" s="9">
        <f>B19+B20</f>
        <v>37126.412199921913</v>
      </c>
    </row>
    <row r="26" spans="1:8" x14ac:dyDescent="0.3">
      <c r="A26" s="10" t="s">
        <v>311</v>
      </c>
      <c r="B26" s="13">
        <f>B18+B23+B24</f>
        <v>112495.00493863664</v>
      </c>
    </row>
    <row r="27" spans="1:8" x14ac:dyDescent="0.3">
      <c r="A27" s="9" t="s">
        <v>312</v>
      </c>
      <c r="B27" s="12">
        <f>B26-B25</f>
        <v>75368.592738714739</v>
      </c>
    </row>
    <row r="28" spans="1:8" ht="14.5" thickBot="1" x14ac:dyDescent="0.35"/>
    <row r="29" spans="1:8" ht="14.5" thickBot="1" x14ac:dyDescent="0.3">
      <c r="A29" s="136" t="s">
        <v>189</v>
      </c>
      <c r="B29" s="137" t="s">
        <v>789</v>
      </c>
      <c r="C29" s="137" t="s">
        <v>790</v>
      </c>
      <c r="D29" s="183" t="s">
        <v>294</v>
      </c>
      <c r="E29" s="184"/>
      <c r="F29" s="184"/>
      <c r="G29" s="185"/>
      <c r="H29" s="106"/>
    </row>
    <row r="30" spans="1:8" ht="14.5" thickBot="1" x14ac:dyDescent="0.35">
      <c r="A30" s="138"/>
      <c r="B30" s="139"/>
      <c r="C30" s="139"/>
      <c r="D30" s="139">
        <v>4</v>
      </c>
      <c r="E30" s="140">
        <v>5</v>
      </c>
      <c r="F30" s="140">
        <v>6</v>
      </c>
      <c r="G30" s="140">
        <v>7</v>
      </c>
      <c r="H30" s="106"/>
    </row>
    <row r="31" spans="1:8" ht="14.5" thickBot="1" x14ac:dyDescent="0.35">
      <c r="A31" s="186" t="s">
        <v>791</v>
      </c>
      <c r="B31" s="186"/>
      <c r="C31" s="186"/>
      <c r="D31" s="141">
        <v>1</v>
      </c>
      <c r="E31" s="141">
        <v>1</v>
      </c>
      <c r="F31" s="141">
        <v>1</v>
      </c>
      <c r="G31" s="141">
        <v>1</v>
      </c>
      <c r="H31" s="106"/>
    </row>
    <row r="32" spans="1:8" ht="14.5" thickBot="1" x14ac:dyDescent="0.35">
      <c r="A32" s="142" t="s">
        <v>311</v>
      </c>
      <c r="B32" s="143"/>
      <c r="C32" s="143"/>
      <c r="D32" s="144">
        <f>G19</f>
        <v>5360.7674925633828</v>
      </c>
      <c r="E32" s="144">
        <f>D32</f>
        <v>5360.7674925633828</v>
      </c>
      <c r="F32" s="144">
        <f t="shared" ref="F32:G38" si="3">E32</f>
        <v>5360.7674925633828</v>
      </c>
      <c r="G32" s="144">
        <f t="shared" si="3"/>
        <v>5360.7674925633828</v>
      </c>
      <c r="H32" s="106"/>
    </row>
    <row r="33" spans="1:8" ht="14.5" thickBot="1" x14ac:dyDescent="0.35">
      <c r="A33" s="145" t="s">
        <v>303</v>
      </c>
      <c r="B33" s="146">
        <v>30</v>
      </c>
      <c r="C33" s="146">
        <v>12</v>
      </c>
      <c r="D33" s="147">
        <f>B18</f>
        <v>37657.698369357364</v>
      </c>
      <c r="E33" s="147">
        <f t="shared" ref="E33:E39" si="4">D33</f>
        <v>37657.698369357364</v>
      </c>
      <c r="F33" s="147">
        <f t="shared" si="3"/>
        <v>37657.698369357364</v>
      </c>
      <c r="G33" s="147">
        <f t="shared" si="3"/>
        <v>37657.698369357364</v>
      </c>
      <c r="H33" s="106"/>
    </row>
    <row r="34" spans="1:8" ht="14.5" thickBot="1" x14ac:dyDescent="0.35">
      <c r="A34" s="142" t="s">
        <v>308</v>
      </c>
      <c r="B34" s="143"/>
      <c r="C34" s="143"/>
      <c r="D34" s="144">
        <f>B23</f>
        <v>74784.110569279277</v>
      </c>
      <c r="E34" s="144">
        <f t="shared" si="4"/>
        <v>74784.110569279277</v>
      </c>
      <c r="F34" s="144">
        <f t="shared" si="3"/>
        <v>74784.110569279277</v>
      </c>
      <c r="G34" s="144">
        <f t="shared" si="3"/>
        <v>74784.110569279277</v>
      </c>
      <c r="H34" s="106"/>
    </row>
    <row r="35" spans="1:8" ht="14.5" thickBot="1" x14ac:dyDescent="0.35">
      <c r="A35" s="145" t="s">
        <v>792</v>
      </c>
      <c r="B35" s="146">
        <v>30</v>
      </c>
      <c r="C35" s="146">
        <v>12</v>
      </c>
      <c r="D35" s="147">
        <f>B19</f>
        <v>14357.81412312859</v>
      </c>
      <c r="E35" s="147">
        <f t="shared" si="4"/>
        <v>14357.81412312859</v>
      </c>
      <c r="F35" s="147">
        <f t="shared" si="3"/>
        <v>14357.81412312859</v>
      </c>
      <c r="G35" s="147">
        <f t="shared" si="3"/>
        <v>14357.81412312859</v>
      </c>
      <c r="H35" s="106"/>
    </row>
    <row r="36" spans="1:8" ht="14.5" thickBot="1" x14ac:dyDescent="0.35">
      <c r="A36" s="142" t="s">
        <v>793</v>
      </c>
      <c r="B36" s="143">
        <v>30</v>
      </c>
      <c r="C36" s="143">
        <v>12</v>
      </c>
      <c r="D36" s="144">
        <f>B20</f>
        <v>22768.598076793325</v>
      </c>
      <c r="E36" s="144">
        <f t="shared" si="4"/>
        <v>22768.598076793325</v>
      </c>
      <c r="F36" s="144">
        <f t="shared" si="3"/>
        <v>22768.598076793325</v>
      </c>
      <c r="G36" s="144">
        <f t="shared" si="3"/>
        <v>22768.598076793325</v>
      </c>
      <c r="H36" s="106"/>
    </row>
    <row r="37" spans="1:8" ht="14.5" thickBot="1" x14ac:dyDescent="0.35">
      <c r="A37" s="145" t="s">
        <v>309</v>
      </c>
      <c r="B37" s="146">
        <v>30</v>
      </c>
      <c r="C37" s="146">
        <v>12</v>
      </c>
      <c r="D37" s="147">
        <f>B24</f>
        <v>53.195999999999998</v>
      </c>
      <c r="E37" s="147">
        <f t="shared" si="4"/>
        <v>53.195999999999998</v>
      </c>
      <c r="F37" s="147">
        <f t="shared" si="3"/>
        <v>53.195999999999998</v>
      </c>
      <c r="G37" s="147">
        <f t="shared" si="3"/>
        <v>53.195999999999998</v>
      </c>
      <c r="H37" s="106"/>
    </row>
    <row r="38" spans="1:8" ht="14.5" thickBot="1" x14ac:dyDescent="0.35">
      <c r="A38" s="142" t="s">
        <v>286</v>
      </c>
      <c r="B38" s="143"/>
      <c r="C38" s="143"/>
      <c r="D38" s="144">
        <f>B27</f>
        <v>75368.592738714739</v>
      </c>
      <c r="E38" s="144">
        <f t="shared" si="4"/>
        <v>75368.592738714739</v>
      </c>
      <c r="F38" s="144">
        <f t="shared" si="3"/>
        <v>75368.592738714739</v>
      </c>
      <c r="G38" s="144">
        <f t="shared" si="3"/>
        <v>75368.592738714739</v>
      </c>
      <c r="H38" s="106"/>
    </row>
    <row r="39" spans="1:8" ht="14.5" thickBot="1" x14ac:dyDescent="0.35">
      <c r="A39" s="145" t="s">
        <v>794</v>
      </c>
      <c r="B39" s="146"/>
      <c r="C39" s="146"/>
      <c r="D39" s="147">
        <v>0</v>
      </c>
      <c r="E39" s="147">
        <f t="shared" si="4"/>
        <v>0</v>
      </c>
      <c r="F39" s="147">
        <v>0</v>
      </c>
      <c r="G39" s="147">
        <v>0</v>
      </c>
      <c r="H39" s="106"/>
    </row>
    <row r="40" spans="1:8" ht="14.5" thickBot="1" x14ac:dyDescent="0.35">
      <c r="A40" s="142" t="s">
        <v>795</v>
      </c>
      <c r="B40" s="143"/>
      <c r="C40" s="148">
        <v>4.3499999999999997E-2</v>
      </c>
      <c r="D40" s="144"/>
      <c r="E40" s="144"/>
      <c r="F40" s="144"/>
      <c r="G40" s="144"/>
      <c r="H40" s="106"/>
    </row>
    <row r="41" spans="1:8" ht="14.5" thickBot="1" x14ac:dyDescent="0.35">
      <c r="A41" s="145" t="s">
        <v>796</v>
      </c>
      <c r="B41" s="146"/>
      <c r="C41" s="146"/>
      <c r="D41" s="147">
        <f>C14</f>
        <v>11798.046488406246</v>
      </c>
      <c r="E41" s="147">
        <f t="shared" ref="E41:G42" si="5">D41</f>
        <v>11798.046488406246</v>
      </c>
      <c r="F41" s="147">
        <f t="shared" si="5"/>
        <v>11798.046488406246</v>
      </c>
      <c r="G41" s="147">
        <f t="shared" si="5"/>
        <v>11798.046488406246</v>
      </c>
      <c r="H41" s="106"/>
    </row>
    <row r="42" spans="1:8" ht="14.5" thickBot="1" x14ac:dyDescent="0.35">
      <c r="A42" s="142" t="s">
        <v>797</v>
      </c>
      <c r="B42" s="143"/>
      <c r="C42" s="143"/>
      <c r="D42" s="144">
        <f>D13</f>
        <v>2000</v>
      </c>
      <c r="E42" s="144">
        <f t="shared" si="5"/>
        <v>2000</v>
      </c>
      <c r="F42" s="144">
        <f t="shared" si="5"/>
        <v>2000</v>
      </c>
      <c r="G42" s="144">
        <f t="shared" si="5"/>
        <v>2000</v>
      </c>
      <c r="H42" s="106"/>
    </row>
  </sheetData>
  <mergeCells count="10">
    <mergeCell ref="A1:B1"/>
    <mergeCell ref="A7:B7"/>
    <mergeCell ref="A8:A9"/>
    <mergeCell ref="B8:B9"/>
    <mergeCell ref="A14:B14"/>
    <mergeCell ref="C14:I14"/>
    <mergeCell ref="C15:I15"/>
    <mergeCell ref="D29:G29"/>
    <mergeCell ref="A31:C31"/>
    <mergeCell ref="A15:B1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7353-2B51-4D32-B872-6FF0B1B9652A}">
  <dimension ref="A1:E55"/>
  <sheetViews>
    <sheetView topLeftCell="A40" zoomScale="73" workbookViewId="0">
      <selection activeCell="A41" sqref="A41:D55"/>
    </sheetView>
  </sheetViews>
  <sheetFormatPr defaultRowHeight="14" x14ac:dyDescent="0.3"/>
  <cols>
    <col min="1" max="1" width="18.9140625" customWidth="1"/>
    <col min="2" max="2" width="14.6640625" customWidth="1"/>
    <col min="3" max="3" width="14.5" customWidth="1"/>
    <col min="4" max="4" width="22.75" customWidth="1"/>
    <col min="5" max="5" width="18.5" customWidth="1"/>
  </cols>
  <sheetData>
    <row r="1" spans="1:5" ht="17.5" x14ac:dyDescent="0.3">
      <c r="A1" s="2" t="s">
        <v>331</v>
      </c>
    </row>
    <row r="2" spans="1:5" x14ac:dyDescent="0.3">
      <c r="A2" s="11" t="s">
        <v>227</v>
      </c>
      <c r="B2" s="11" t="s">
        <v>332</v>
      </c>
      <c r="C2" s="11" t="s">
        <v>333</v>
      </c>
      <c r="D2" s="11" t="s">
        <v>334</v>
      </c>
      <c r="E2" s="11" t="s">
        <v>335</v>
      </c>
    </row>
    <row r="3" spans="1:5" x14ac:dyDescent="0.3">
      <c r="A3" s="13" t="s">
        <v>336</v>
      </c>
      <c r="B3" s="20">
        <f>设备购置和安装费!D1</f>
        <v>5348.356955002163</v>
      </c>
      <c r="C3" s="20">
        <v>10</v>
      </c>
      <c r="D3" s="20">
        <v>9.5000000000000001E-2</v>
      </c>
      <c r="E3" s="20">
        <f>B3*D3</f>
        <v>508.09391072520549</v>
      </c>
    </row>
    <row r="4" spans="1:5" x14ac:dyDescent="0.3">
      <c r="A4" s="12" t="s">
        <v>337</v>
      </c>
      <c r="B4" s="21">
        <f>建设投资估算表!E7</f>
        <v>7846.0396529881737</v>
      </c>
      <c r="C4" s="21">
        <v>20</v>
      </c>
      <c r="D4" s="21">
        <v>4.7500000000000001E-2</v>
      </c>
      <c r="E4" s="21">
        <f>B4*D4</f>
        <v>372.68688351693828</v>
      </c>
    </row>
    <row r="5" spans="1:5" x14ac:dyDescent="0.3">
      <c r="A5" s="13" t="s">
        <v>338</v>
      </c>
      <c r="B5" s="20">
        <f>设备购置和安装费!D6+设备购置和安装费!D7+设备购置和安装费!D8+设备购置和安装费!D10+设备购置和安装费!D11+设备购置和安装费!D12+设备购置和安装费!D13</f>
        <v>6016.9015743774344</v>
      </c>
      <c r="C5" s="20">
        <v>5</v>
      </c>
      <c r="D5" s="20">
        <v>0.19</v>
      </c>
      <c r="E5" s="20">
        <f>B5*D5</f>
        <v>1143.2112991317126</v>
      </c>
    </row>
    <row r="6" spans="1:5" x14ac:dyDescent="0.3">
      <c r="A6" s="12" t="s">
        <v>339</v>
      </c>
      <c r="B6" s="21">
        <f>设备购置和安装费!D9</f>
        <v>641.80283460025953</v>
      </c>
      <c r="C6" s="21">
        <v>5</v>
      </c>
      <c r="D6" s="21">
        <v>0.19</v>
      </c>
      <c r="E6" s="21">
        <f>B6*D6</f>
        <v>121.94253857404931</v>
      </c>
    </row>
    <row r="7" spans="1:5" x14ac:dyDescent="0.3">
      <c r="A7" s="13" t="s">
        <v>340</v>
      </c>
      <c r="B7" s="20">
        <f>设备购置和安装费!D14</f>
        <v>1069.6713910004325</v>
      </c>
      <c r="C7" s="20">
        <v>5</v>
      </c>
      <c r="D7" s="20">
        <v>0.19</v>
      </c>
      <c r="E7" s="20">
        <f>B7*D7</f>
        <v>203.23756429008219</v>
      </c>
    </row>
    <row r="8" spans="1:5" x14ac:dyDescent="0.3">
      <c r="A8" s="173" t="s">
        <v>182</v>
      </c>
      <c r="B8" s="188"/>
      <c r="C8" s="188"/>
      <c r="D8" s="174"/>
      <c r="E8" s="21">
        <f>SUM(E3:E7)</f>
        <v>2349.1721962379875</v>
      </c>
    </row>
    <row r="10" spans="1:5" ht="17.5" x14ac:dyDescent="0.3">
      <c r="A10" s="2" t="s">
        <v>342</v>
      </c>
    </row>
    <row r="11" spans="1:5" x14ac:dyDescent="0.3">
      <c r="A11" s="11" t="s">
        <v>343</v>
      </c>
      <c r="B11" s="11" t="s">
        <v>344</v>
      </c>
    </row>
    <row r="12" spans="1:5" x14ac:dyDescent="0.3">
      <c r="A12" s="13" t="s">
        <v>345</v>
      </c>
      <c r="B12" s="13">
        <f>建设投资估算表!C64</f>
        <v>5911.4687500000009</v>
      </c>
    </row>
    <row r="13" spans="1:5" x14ac:dyDescent="0.3">
      <c r="A13" s="12" t="s">
        <v>346</v>
      </c>
      <c r="B13" s="12">
        <f>建设投资估算表!F50</f>
        <v>717.3508765750878</v>
      </c>
    </row>
    <row r="14" spans="1:5" x14ac:dyDescent="0.3">
      <c r="A14" s="13" t="s">
        <v>347</v>
      </c>
      <c r="B14" s="13">
        <f>SUM(B12:B13)</f>
        <v>6628.8196265750885</v>
      </c>
    </row>
    <row r="15" spans="1:5" x14ac:dyDescent="0.3">
      <c r="A15" s="12" t="s">
        <v>342</v>
      </c>
      <c r="B15" s="12">
        <f>B14/14</f>
        <v>473.48711618393492</v>
      </c>
    </row>
    <row r="17" spans="1:5" ht="17.5" x14ac:dyDescent="0.3">
      <c r="A17" s="2" t="s">
        <v>348</v>
      </c>
    </row>
    <row r="18" spans="1:5" x14ac:dyDescent="0.3">
      <c r="A18" s="11" t="s">
        <v>349</v>
      </c>
      <c r="B18" s="11" t="s">
        <v>343</v>
      </c>
      <c r="C18" s="11" t="s">
        <v>350</v>
      </c>
      <c r="D18" s="11" t="s">
        <v>351</v>
      </c>
      <c r="E18" s="11" t="s">
        <v>352</v>
      </c>
    </row>
    <row r="19" spans="1:5" x14ac:dyDescent="0.3">
      <c r="A19" s="13">
        <v>1</v>
      </c>
      <c r="B19" s="13" t="s">
        <v>348</v>
      </c>
      <c r="C19" s="13">
        <v>1.2</v>
      </c>
      <c r="D19" s="13">
        <f>B3</f>
        <v>5348.356955002163</v>
      </c>
      <c r="E19" s="13">
        <f>D19*C19*0.01</f>
        <v>64.180283460025962</v>
      </c>
    </row>
    <row r="21" spans="1:5" ht="17.5" x14ac:dyDescent="0.3">
      <c r="A21" s="2" t="s">
        <v>354</v>
      </c>
    </row>
    <row r="22" spans="1:5" x14ac:dyDescent="0.3">
      <c r="A22" s="11" t="s">
        <v>349</v>
      </c>
      <c r="B22" s="11" t="s">
        <v>343</v>
      </c>
      <c r="C22" s="11" t="s">
        <v>350</v>
      </c>
      <c r="D22" s="11" t="s">
        <v>351</v>
      </c>
      <c r="E22" s="11" t="s">
        <v>352</v>
      </c>
    </row>
    <row r="23" spans="1:5" x14ac:dyDescent="0.3">
      <c r="A23" s="13">
        <v>1</v>
      </c>
      <c r="B23" s="13" t="s">
        <v>354</v>
      </c>
      <c r="C23" s="13">
        <v>40</v>
      </c>
      <c r="D23" s="13">
        <f>工资和生活用水费!G16</f>
        <v>496</v>
      </c>
      <c r="E23" s="13">
        <f>D23*C23*0.01</f>
        <v>198.4</v>
      </c>
    </row>
    <row r="25" spans="1:5" ht="17.5" x14ac:dyDescent="0.3">
      <c r="A25" s="2" t="s">
        <v>356</v>
      </c>
    </row>
    <row r="26" spans="1:5" x14ac:dyDescent="0.3">
      <c r="A26" s="11" t="s">
        <v>349</v>
      </c>
      <c r="B26" s="11" t="s">
        <v>343</v>
      </c>
      <c r="C26" s="11" t="s">
        <v>352</v>
      </c>
    </row>
    <row r="27" spans="1:5" x14ac:dyDescent="0.3">
      <c r="A27" s="13">
        <v>1</v>
      </c>
      <c r="B27" s="13" t="s">
        <v>356</v>
      </c>
      <c r="C27" s="13">
        <f>建设期贷款利息!C10*0.0475*5/4</f>
        <v>593.75</v>
      </c>
    </row>
    <row r="29" spans="1:5" ht="17.5" x14ac:dyDescent="0.3">
      <c r="A29" s="2" t="s">
        <v>326</v>
      </c>
    </row>
    <row r="30" spans="1:5" x14ac:dyDescent="0.3">
      <c r="A30" s="11" t="s">
        <v>349</v>
      </c>
      <c r="B30" s="11" t="s">
        <v>343</v>
      </c>
      <c r="C30" s="11" t="s">
        <v>350</v>
      </c>
      <c r="D30" s="11" t="s">
        <v>351</v>
      </c>
      <c r="E30" s="11" t="s">
        <v>352</v>
      </c>
    </row>
    <row r="31" spans="1:5" x14ac:dyDescent="0.3">
      <c r="A31" s="13">
        <v>1</v>
      </c>
      <c r="B31" s="13" t="s">
        <v>326</v>
      </c>
      <c r="C31" s="13">
        <v>1</v>
      </c>
      <c r="D31" s="13">
        <f>产品销售收入和税金估算!F5</f>
        <v>522126.72732252697</v>
      </c>
      <c r="E31" s="13">
        <f>D31*C31*0.01</f>
        <v>5221.2672732252695</v>
      </c>
    </row>
    <row r="33" spans="1:4" ht="17.5" x14ac:dyDescent="0.3">
      <c r="A33" s="2" t="s">
        <v>357</v>
      </c>
    </row>
    <row r="34" spans="1:4" x14ac:dyDescent="0.3">
      <c r="A34" s="11" t="s">
        <v>197</v>
      </c>
      <c r="B34" s="11" t="s">
        <v>227</v>
      </c>
      <c r="C34" s="11" t="s">
        <v>200</v>
      </c>
    </row>
    <row r="35" spans="1:4" x14ac:dyDescent="0.3">
      <c r="A35" s="13">
        <v>1</v>
      </c>
      <c r="B35" s="13" t="s">
        <v>358</v>
      </c>
      <c r="C35" s="13">
        <v>5</v>
      </c>
    </row>
    <row r="36" spans="1:4" x14ac:dyDescent="0.3">
      <c r="A36" s="12">
        <v>2</v>
      </c>
      <c r="B36" s="12" t="s">
        <v>359</v>
      </c>
      <c r="C36" s="12">
        <f>5*主要经济技术指标表!D26*0.0001</f>
        <v>62.414760000000001</v>
      </c>
    </row>
    <row r="37" spans="1:4" x14ac:dyDescent="0.3">
      <c r="A37" s="13">
        <v>3</v>
      </c>
      <c r="B37" s="13" t="s">
        <v>798</v>
      </c>
      <c r="C37" s="13">
        <v>250</v>
      </c>
    </row>
    <row r="38" spans="1:4" x14ac:dyDescent="0.3">
      <c r="A38" s="173" t="s">
        <v>360</v>
      </c>
      <c r="B38" s="174"/>
      <c r="C38" s="12">
        <f>SUM(C35:C37)</f>
        <v>317.41476</v>
      </c>
    </row>
    <row r="40" spans="1:4" ht="17.5" x14ac:dyDescent="0.3">
      <c r="A40" s="2" t="s">
        <v>373</v>
      </c>
    </row>
    <row r="41" spans="1:4" x14ac:dyDescent="0.3">
      <c r="A41" s="14" t="s">
        <v>283</v>
      </c>
      <c r="B41" s="14" t="s">
        <v>189</v>
      </c>
      <c r="C41" s="45" t="s">
        <v>361</v>
      </c>
      <c r="D41" s="45" t="s">
        <v>362</v>
      </c>
    </row>
    <row r="42" spans="1:4" x14ac:dyDescent="0.3">
      <c r="A42" s="28">
        <v>1</v>
      </c>
      <c r="B42" s="46" t="s">
        <v>363</v>
      </c>
      <c r="C42" s="30">
        <f>直接材料费用表!E9</f>
        <v>172293.76947754307</v>
      </c>
      <c r="D42" s="30">
        <f>C42/$C$52*100</f>
        <v>37.835748017034177</v>
      </c>
    </row>
    <row r="43" spans="1:4" x14ac:dyDescent="0.3">
      <c r="A43" s="31">
        <v>2</v>
      </c>
      <c r="B43" s="32" t="s">
        <v>364</v>
      </c>
      <c r="C43" s="33">
        <f>直接材料费用表!F22</f>
        <v>273223.17692151992</v>
      </c>
      <c r="D43" s="33">
        <f t="shared" ref="D43:D51" si="0">C43/$C$52*100</f>
        <v>59.999867120926787</v>
      </c>
    </row>
    <row r="44" spans="1:4" x14ac:dyDescent="0.3">
      <c r="A44" s="28">
        <v>3</v>
      </c>
      <c r="B44" s="29" t="s">
        <v>365</v>
      </c>
      <c r="C44" s="30">
        <f>工资和生活用水费!E26</f>
        <v>638.35199999999998</v>
      </c>
      <c r="D44" s="30">
        <f t="shared" si="0"/>
        <v>0.14018223346908584</v>
      </c>
    </row>
    <row r="45" spans="1:4" x14ac:dyDescent="0.3">
      <c r="A45" s="31">
        <v>4</v>
      </c>
      <c r="B45" s="32" t="s">
        <v>330</v>
      </c>
      <c r="C45" s="33">
        <f>E8</f>
        <v>2349.1721962379875</v>
      </c>
      <c r="D45" s="33">
        <f t="shared" si="0"/>
        <v>0.51587870841184602</v>
      </c>
    </row>
    <row r="46" spans="1:4" x14ac:dyDescent="0.3">
      <c r="A46" s="28">
        <v>5</v>
      </c>
      <c r="B46" s="29" t="s">
        <v>341</v>
      </c>
      <c r="C46" s="30">
        <f>B15</f>
        <v>473.48711618393492</v>
      </c>
      <c r="D46" s="30">
        <f t="shared" si="0"/>
        <v>0.10397787030588224</v>
      </c>
    </row>
    <row r="47" spans="1:4" x14ac:dyDescent="0.3">
      <c r="A47" s="31">
        <v>6</v>
      </c>
      <c r="B47" s="32" t="s">
        <v>366</v>
      </c>
      <c r="C47" s="33">
        <f>E19</f>
        <v>64.180283460025962</v>
      </c>
      <c r="D47" s="33">
        <f t="shared" si="0"/>
        <v>1.4094003747314128E-2</v>
      </c>
    </row>
    <row r="48" spans="1:4" x14ac:dyDescent="0.3">
      <c r="A48" s="28">
        <v>7</v>
      </c>
      <c r="B48" s="29" t="s">
        <v>353</v>
      </c>
      <c r="C48" s="30">
        <f>E23</f>
        <v>198.4</v>
      </c>
      <c r="D48" s="30">
        <f t="shared" si="0"/>
        <v>4.3568681730873617E-2</v>
      </c>
    </row>
    <row r="49" spans="1:4" x14ac:dyDescent="0.3">
      <c r="A49" s="31">
        <v>8</v>
      </c>
      <c r="B49" s="32" t="s">
        <v>355</v>
      </c>
      <c r="C49" s="33">
        <f>C27</f>
        <v>593.75</v>
      </c>
      <c r="D49" s="33">
        <f t="shared" si="0"/>
        <v>0.13038762488763211</v>
      </c>
    </row>
    <row r="50" spans="1:4" x14ac:dyDescent="0.3">
      <c r="A50" s="28">
        <v>9</v>
      </c>
      <c r="B50" s="29" t="s">
        <v>367</v>
      </c>
      <c r="C50" s="30">
        <f>E31</f>
        <v>5221.2672732252695</v>
      </c>
      <c r="D50" s="30">
        <f t="shared" si="0"/>
        <v>1.1465913914263008</v>
      </c>
    </row>
    <row r="51" spans="1:4" x14ac:dyDescent="0.3">
      <c r="A51" s="31">
        <v>10</v>
      </c>
      <c r="B51" s="32" t="s">
        <v>368</v>
      </c>
      <c r="C51" s="33">
        <f>C38</f>
        <v>317.41476</v>
      </c>
      <c r="D51" s="33">
        <f t="shared" si="0"/>
        <v>6.9704348060088878E-2</v>
      </c>
    </row>
    <row r="52" spans="1:4" x14ac:dyDescent="0.3">
      <c r="A52" s="189" t="s">
        <v>182</v>
      </c>
      <c r="B52" s="29" t="s">
        <v>369</v>
      </c>
      <c r="C52" s="30">
        <f>SUM(C42:C51)</f>
        <v>455372.97002817027</v>
      </c>
      <c r="D52" s="30">
        <v>100</v>
      </c>
    </row>
    <row r="53" spans="1:4" x14ac:dyDescent="0.3">
      <c r="A53" s="189"/>
      <c r="B53" s="32" t="s">
        <v>370</v>
      </c>
      <c r="C53" s="33">
        <f>SUM(C42:C43,C50:C51)</f>
        <v>451055.6284322883</v>
      </c>
      <c r="D53" s="33">
        <f>C53/C52*100</f>
        <v>99.051910877447355</v>
      </c>
    </row>
    <row r="54" spans="1:4" x14ac:dyDescent="0.3">
      <c r="A54" s="189"/>
      <c r="B54" s="29" t="s">
        <v>371</v>
      </c>
      <c r="C54" s="30">
        <f>SUM(C44:C49)</f>
        <v>4317.3415958819478</v>
      </c>
      <c r="D54" s="30">
        <f>C54/C52*100</f>
        <v>0.94808912255263389</v>
      </c>
    </row>
    <row r="55" spans="1:4" x14ac:dyDescent="0.3">
      <c r="A55" s="189"/>
      <c r="B55" s="32" t="s">
        <v>372</v>
      </c>
      <c r="C55" s="33">
        <f>C52-C45-C46-C47-C49</f>
        <v>451892.38043228834</v>
      </c>
      <c r="D55" s="33">
        <f>C55/C52*100</f>
        <v>99.235661792647335</v>
      </c>
    </row>
  </sheetData>
  <mergeCells count="3">
    <mergeCell ref="A8:D8"/>
    <mergeCell ref="A52:A55"/>
    <mergeCell ref="A38:B38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A2E4-2A94-4DCD-AEDE-0A6551B1712F}">
  <dimension ref="A1:S113"/>
  <sheetViews>
    <sheetView topLeftCell="A33" zoomScale="56" zoomScaleNormal="41" workbookViewId="0">
      <selection activeCell="I98" sqref="I98"/>
    </sheetView>
  </sheetViews>
  <sheetFormatPr defaultRowHeight="14" x14ac:dyDescent="0.3"/>
  <cols>
    <col min="1" max="1" width="16" customWidth="1"/>
    <col min="2" max="2" width="21.58203125" customWidth="1"/>
    <col min="3" max="3" width="12.6640625" customWidth="1"/>
    <col min="4" max="4" width="11.5" customWidth="1"/>
    <col min="5" max="5" width="10.08203125" bestFit="1" customWidth="1"/>
    <col min="9" max="9" width="9.5" bestFit="1" customWidth="1"/>
  </cols>
  <sheetData>
    <row r="1" spans="1:6" ht="17.5" x14ac:dyDescent="0.3">
      <c r="A1" s="44" t="s">
        <v>383</v>
      </c>
      <c r="B1" s="43"/>
    </row>
    <row r="2" spans="1:6" x14ac:dyDescent="0.3">
      <c r="A2" s="11" t="s">
        <v>374</v>
      </c>
      <c r="B2" s="11" t="s">
        <v>328</v>
      </c>
      <c r="C2" s="11" t="s">
        <v>384</v>
      </c>
      <c r="D2" s="11" t="s">
        <v>385</v>
      </c>
    </row>
    <row r="3" spans="1:6" x14ac:dyDescent="0.3">
      <c r="A3" s="13">
        <v>1</v>
      </c>
      <c r="B3" s="13" t="s">
        <v>386</v>
      </c>
      <c r="C3" s="13">
        <f>产品销售收入和税金估算!F5</f>
        <v>522126.72732252697</v>
      </c>
      <c r="D3" s="13"/>
    </row>
    <row r="4" spans="1:6" x14ac:dyDescent="0.3">
      <c r="A4" s="12">
        <v>2</v>
      </c>
      <c r="B4" s="12" t="s">
        <v>387</v>
      </c>
      <c r="C4" s="12">
        <f>产品成本汇总表!C52</f>
        <v>455372.97002817027</v>
      </c>
      <c r="D4" s="12"/>
    </row>
    <row r="5" spans="1:6" x14ac:dyDescent="0.3">
      <c r="A5" s="13">
        <v>3</v>
      </c>
      <c r="B5" s="13" t="s">
        <v>388</v>
      </c>
      <c r="C5" s="13">
        <f>产品销售收入和税金估算!D18</f>
        <v>9694.8660814649156</v>
      </c>
      <c r="D5" s="13"/>
    </row>
    <row r="6" spans="1:6" x14ac:dyDescent="0.3">
      <c r="A6" s="12">
        <v>4</v>
      </c>
      <c r="B6" s="12" t="s">
        <v>389</v>
      </c>
      <c r="C6" s="12">
        <f>C3-C4-C5</f>
        <v>57058.891212891787</v>
      </c>
      <c r="D6" s="35" t="s">
        <v>395</v>
      </c>
    </row>
    <row r="7" spans="1:6" x14ac:dyDescent="0.3">
      <c r="A7" s="13">
        <v>5</v>
      </c>
      <c r="B7" s="13" t="s">
        <v>390</v>
      </c>
      <c r="C7" s="13">
        <f>C6*0.25</f>
        <v>14264.722803222947</v>
      </c>
      <c r="D7" s="13" t="s">
        <v>396</v>
      </c>
    </row>
    <row r="8" spans="1:6" x14ac:dyDescent="0.3">
      <c r="A8" s="12">
        <v>6</v>
      </c>
      <c r="B8" s="12" t="s">
        <v>391</v>
      </c>
      <c r="C8" s="12">
        <f>C6-C7</f>
        <v>42794.16840966884</v>
      </c>
      <c r="D8" s="35" t="s">
        <v>397</v>
      </c>
    </row>
    <row r="9" spans="1:6" x14ac:dyDescent="0.3">
      <c r="A9" s="13">
        <v>7</v>
      </c>
      <c r="B9" s="13" t="s">
        <v>392</v>
      </c>
      <c r="C9" s="13">
        <f>C8*0.1</f>
        <v>4279.4168409668846</v>
      </c>
      <c r="D9" s="13" t="s">
        <v>398</v>
      </c>
    </row>
    <row r="10" spans="1:6" x14ac:dyDescent="0.3">
      <c r="A10" s="12">
        <v>8</v>
      </c>
      <c r="B10" s="12" t="s">
        <v>393</v>
      </c>
      <c r="C10" s="12">
        <f>C8*0.05</f>
        <v>2139.7084204834423</v>
      </c>
      <c r="D10" s="12" t="s">
        <v>399</v>
      </c>
    </row>
    <row r="11" spans="1:6" x14ac:dyDescent="0.3">
      <c r="A11" s="13">
        <v>9</v>
      </c>
      <c r="B11" s="13" t="s">
        <v>394</v>
      </c>
      <c r="C11" s="13">
        <f>C8-C9-C10</f>
        <v>36375.043148218516</v>
      </c>
      <c r="D11" s="34" t="s">
        <v>400</v>
      </c>
    </row>
    <row r="13" spans="1:6" ht="17.5" x14ac:dyDescent="0.3">
      <c r="A13" s="2" t="s">
        <v>401</v>
      </c>
    </row>
    <row r="14" spans="1:6" x14ac:dyDescent="0.3">
      <c r="A14" s="166" t="s">
        <v>374</v>
      </c>
      <c r="B14" s="166" t="s">
        <v>328</v>
      </c>
      <c r="C14" s="11" t="s">
        <v>402</v>
      </c>
      <c r="D14" s="166" t="s">
        <v>403</v>
      </c>
      <c r="E14" s="166"/>
      <c r="F14" s="11" t="s">
        <v>404</v>
      </c>
    </row>
    <row r="15" spans="1:6" x14ac:dyDescent="0.3">
      <c r="A15" s="166"/>
      <c r="B15" s="166"/>
      <c r="C15" s="11">
        <v>1</v>
      </c>
      <c r="D15" s="11">
        <v>2</v>
      </c>
      <c r="E15" s="11">
        <v>3</v>
      </c>
      <c r="F15" s="11">
        <v>4</v>
      </c>
    </row>
    <row r="16" spans="1:6" x14ac:dyDescent="0.3">
      <c r="A16" s="13"/>
      <c r="B16" s="13" t="s">
        <v>405</v>
      </c>
      <c r="C16" s="13">
        <v>0</v>
      </c>
      <c r="D16" s="13">
        <v>70</v>
      </c>
      <c r="E16" s="13">
        <v>90</v>
      </c>
      <c r="F16" s="13">
        <v>100</v>
      </c>
    </row>
    <row r="17" spans="1:18" x14ac:dyDescent="0.3">
      <c r="A17" s="12" t="s">
        <v>412</v>
      </c>
      <c r="B17" s="12" t="s">
        <v>386</v>
      </c>
      <c r="C17" s="12">
        <v>0</v>
      </c>
      <c r="D17" s="12">
        <f>$C$3*0.01*D16</f>
        <v>365488.70912576886</v>
      </c>
      <c r="E17" s="12">
        <f>$C$3*0.01*E16</f>
        <v>469914.05459027423</v>
      </c>
      <c r="F17" s="12">
        <f>$C$3*0.01*F16</f>
        <v>522126.72732252697</v>
      </c>
    </row>
    <row r="18" spans="1:18" x14ac:dyDescent="0.3">
      <c r="A18" s="13" t="s">
        <v>413</v>
      </c>
      <c r="B18" s="13" t="s">
        <v>387</v>
      </c>
      <c r="C18" s="13">
        <v>0</v>
      </c>
      <c r="D18" s="13">
        <f>$C$4*D16*0.01</f>
        <v>318761.07901971921</v>
      </c>
      <c r="E18" s="13">
        <f>$C$4*E16*0.01</f>
        <v>409835.67302535329</v>
      </c>
      <c r="F18" s="13">
        <f>$C$4*F16*0.01</f>
        <v>455372.97002817027</v>
      </c>
    </row>
    <row r="19" spans="1:18" x14ac:dyDescent="0.3">
      <c r="A19" s="12" t="s">
        <v>414</v>
      </c>
      <c r="B19" s="12" t="s">
        <v>388</v>
      </c>
      <c r="C19" s="173"/>
      <c r="D19" s="188"/>
      <c r="E19" s="188"/>
      <c r="F19" s="174"/>
    </row>
    <row r="20" spans="1:18" x14ac:dyDescent="0.3">
      <c r="A20" s="164">
        <v>1</v>
      </c>
      <c r="B20" s="13" t="s">
        <v>406</v>
      </c>
      <c r="C20" s="13">
        <v>0</v>
      </c>
      <c r="D20" s="13">
        <f>产品销售收入和税金估算!$D$11*D16*0.01</f>
        <v>42047.373616238896</v>
      </c>
      <c r="E20" s="13">
        <f>产品销售收入和税金估算!$D$11*E16*0.01</f>
        <v>54060.908935164305</v>
      </c>
      <c r="F20" s="13">
        <f>产品销售收入和税金估算!$D$11*F16*0.01</f>
        <v>60067.67659462701</v>
      </c>
    </row>
    <row r="21" spans="1:18" x14ac:dyDescent="0.3">
      <c r="A21" s="164"/>
      <c r="B21" s="12" t="s">
        <v>407</v>
      </c>
      <c r="C21" s="12">
        <v>0</v>
      </c>
      <c r="D21" s="12">
        <f>产品销售收入和税金估算!$D$14*D16*0.01</f>
        <v>35877.913382579412</v>
      </c>
      <c r="E21" s="12">
        <f>产品销售收入和税金估算!$D$14*E16*0.01</f>
        <v>46128.745777602104</v>
      </c>
      <c r="F21" s="12">
        <f>产品销售收入和税金估算!$D$14*F16*0.01</f>
        <v>51254.161975113442</v>
      </c>
    </row>
    <row r="22" spans="1:18" x14ac:dyDescent="0.3">
      <c r="A22" s="164"/>
      <c r="B22" s="13" t="s">
        <v>408</v>
      </c>
      <c r="C22" s="13">
        <v>0</v>
      </c>
      <c r="D22" s="13">
        <f>D20-D21</f>
        <v>6169.4602336594835</v>
      </c>
      <c r="E22" s="13">
        <f>E20-E21</f>
        <v>7932.1631575622014</v>
      </c>
      <c r="F22" s="13">
        <f>F20-F21</f>
        <v>8813.5146195135676</v>
      </c>
    </row>
    <row r="23" spans="1:18" x14ac:dyDescent="0.3">
      <c r="A23" s="12">
        <v>2</v>
      </c>
      <c r="B23" s="12" t="s">
        <v>409</v>
      </c>
      <c r="C23" s="12">
        <v>0</v>
      </c>
      <c r="D23" s="12">
        <f>产品销售收入和税金估算!$D$16*D16*0.01</f>
        <v>431.86221635616448</v>
      </c>
      <c r="E23" s="12">
        <f>产品销售收入和税金估算!$D$16*E16*0.01</f>
        <v>555.25142102935433</v>
      </c>
      <c r="F23" s="12">
        <f>产品销售收入和税金估算!$D$16*F16*0.01</f>
        <v>616.94602336594926</v>
      </c>
    </row>
    <row r="24" spans="1:18" x14ac:dyDescent="0.3">
      <c r="A24" s="13">
        <v>3</v>
      </c>
      <c r="B24" s="13" t="s">
        <v>410</v>
      </c>
      <c r="C24" s="13">
        <v>0</v>
      </c>
      <c r="D24" s="13">
        <f>产品销售收入和税金估算!$D$17*0.01*D16</f>
        <v>185.08380700978478</v>
      </c>
      <c r="E24" s="13">
        <f>产品销售收入和税金估算!$D$17*0.01*E16</f>
        <v>237.96489472686616</v>
      </c>
      <c r="F24" s="13">
        <f>产品销售收入和税金估算!$D$17*0.01*F16</f>
        <v>264.40543858540684</v>
      </c>
    </row>
    <row r="25" spans="1:18" x14ac:dyDescent="0.3">
      <c r="A25" s="12">
        <v>4</v>
      </c>
      <c r="B25" s="12" t="s">
        <v>411</v>
      </c>
      <c r="C25" s="12">
        <v>0</v>
      </c>
      <c r="D25" s="12">
        <f>SUM(D22:D24)</f>
        <v>6786.4062570254337</v>
      </c>
      <c r="E25" s="12">
        <f>SUM(E22:E24)</f>
        <v>8725.3794733184222</v>
      </c>
      <c r="F25" s="12">
        <f>SUM(F22:F24)</f>
        <v>9694.8660814649229</v>
      </c>
    </row>
    <row r="26" spans="1:18" x14ac:dyDescent="0.3">
      <c r="A26" s="13" t="s">
        <v>415</v>
      </c>
      <c r="B26" s="13" t="s">
        <v>389</v>
      </c>
      <c r="C26" s="13">
        <v>0</v>
      </c>
      <c r="D26" s="13">
        <f>$C$6*0.01*D16</f>
        <v>39941.223849024253</v>
      </c>
      <c r="E26" s="13">
        <f>$C$6*0.01*E16</f>
        <v>51353.002091602604</v>
      </c>
      <c r="F26" s="13">
        <f>$C$6*0.01*F16</f>
        <v>57058.891212891787</v>
      </c>
    </row>
    <row r="27" spans="1:18" x14ac:dyDescent="0.3">
      <c r="A27" s="12" t="s">
        <v>416</v>
      </c>
      <c r="B27" s="12" t="s">
        <v>390</v>
      </c>
      <c r="C27" s="12">
        <v>0</v>
      </c>
      <c r="D27" s="12">
        <f>$C$7*0.01*D16</f>
        <v>9985.3059622560631</v>
      </c>
      <c r="E27" s="12">
        <f>$C$7*0.01*E16</f>
        <v>12838.250522900651</v>
      </c>
      <c r="F27" s="12">
        <f>$C$7*0.01*F16</f>
        <v>14264.722803222947</v>
      </c>
    </row>
    <row r="28" spans="1:18" x14ac:dyDescent="0.3">
      <c r="A28" s="13" t="s">
        <v>417</v>
      </c>
      <c r="B28" s="13" t="s">
        <v>391</v>
      </c>
      <c r="C28" s="13">
        <v>0</v>
      </c>
      <c r="D28" s="13">
        <f>$C$8*0.01*D16</f>
        <v>29955.917886768188</v>
      </c>
      <c r="E28" s="13">
        <f>$C$8*0.01*E16</f>
        <v>38514.751568701955</v>
      </c>
      <c r="F28" s="13">
        <f>$C$8*0.01*F16</f>
        <v>42794.16840966884</v>
      </c>
    </row>
    <row r="30" spans="1:18" x14ac:dyDescent="0.3">
      <c r="A30" s="48" t="s">
        <v>418</v>
      </c>
    </row>
    <row r="31" spans="1:18" x14ac:dyDescent="0.3">
      <c r="A31" s="166" t="s">
        <v>374</v>
      </c>
      <c r="B31" s="166" t="s">
        <v>328</v>
      </c>
      <c r="C31" s="166" t="s">
        <v>403</v>
      </c>
      <c r="D31" s="166"/>
      <c r="E31" s="166"/>
      <c r="F31" s="166"/>
      <c r="G31" s="37" t="s">
        <v>404</v>
      </c>
      <c r="H31" s="190" t="s">
        <v>404</v>
      </c>
      <c r="I31" s="191"/>
      <c r="J31" s="191"/>
      <c r="K31" s="191"/>
      <c r="L31" s="191"/>
      <c r="M31" s="192"/>
      <c r="N31" s="166" t="s">
        <v>404</v>
      </c>
      <c r="O31" s="166"/>
      <c r="P31" s="166"/>
      <c r="Q31" s="166"/>
      <c r="R31" s="166"/>
    </row>
    <row r="32" spans="1:18" x14ac:dyDescent="0.3">
      <c r="A32" s="166"/>
      <c r="B32" s="166"/>
      <c r="C32" s="11">
        <v>0</v>
      </c>
      <c r="D32" s="11">
        <v>1</v>
      </c>
      <c r="E32" s="11">
        <v>2</v>
      </c>
      <c r="F32" s="11">
        <v>3</v>
      </c>
      <c r="G32" s="11">
        <v>4</v>
      </c>
      <c r="H32" s="11">
        <v>5</v>
      </c>
      <c r="I32" s="11">
        <v>6</v>
      </c>
      <c r="J32" s="11">
        <v>7</v>
      </c>
      <c r="K32" s="11">
        <v>8</v>
      </c>
      <c r="L32" s="11">
        <v>9</v>
      </c>
      <c r="M32" s="11">
        <v>10</v>
      </c>
      <c r="N32" s="11">
        <v>11</v>
      </c>
      <c r="O32" s="11">
        <v>12</v>
      </c>
      <c r="P32" s="11">
        <v>13</v>
      </c>
      <c r="Q32" s="11">
        <v>14</v>
      </c>
      <c r="R32" s="11">
        <v>15</v>
      </c>
    </row>
    <row r="33" spans="1:18" x14ac:dyDescent="0.3">
      <c r="A33" s="13" t="s">
        <v>412</v>
      </c>
      <c r="B33" s="13" t="s">
        <v>419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18" x14ac:dyDescent="0.3">
      <c r="A34" s="12">
        <v>1</v>
      </c>
      <c r="B34" s="12" t="s">
        <v>420</v>
      </c>
      <c r="C34" s="12"/>
      <c r="D34" s="12"/>
      <c r="E34" s="12">
        <f>D17</f>
        <v>365488.70912576886</v>
      </c>
      <c r="F34" s="12">
        <f>E17</f>
        <v>469914.05459027423</v>
      </c>
      <c r="G34" s="12">
        <f>F17</f>
        <v>522126.72732252697</v>
      </c>
      <c r="H34" s="12">
        <f>G34</f>
        <v>522126.72732252697</v>
      </c>
      <c r="I34" s="12">
        <f t="shared" ref="I34:R34" si="0">H34</f>
        <v>522126.72732252697</v>
      </c>
      <c r="J34" s="12">
        <f t="shared" si="0"/>
        <v>522126.72732252697</v>
      </c>
      <c r="K34" s="12">
        <f t="shared" si="0"/>
        <v>522126.72732252697</v>
      </c>
      <c r="L34" s="12">
        <f t="shared" si="0"/>
        <v>522126.72732252697</v>
      </c>
      <c r="M34" s="12">
        <f t="shared" si="0"/>
        <v>522126.72732252697</v>
      </c>
      <c r="N34" s="12">
        <f t="shared" si="0"/>
        <v>522126.72732252697</v>
      </c>
      <c r="O34" s="12">
        <f t="shared" si="0"/>
        <v>522126.72732252697</v>
      </c>
      <c r="P34" s="12">
        <f t="shared" si="0"/>
        <v>522126.72732252697</v>
      </c>
      <c r="Q34" s="12">
        <f t="shared" si="0"/>
        <v>522126.72732252697</v>
      </c>
      <c r="R34" s="12">
        <f t="shared" si="0"/>
        <v>522126.72732252697</v>
      </c>
    </row>
    <row r="35" spans="1:18" x14ac:dyDescent="0.3">
      <c r="A35" s="13">
        <v>2</v>
      </c>
      <c r="B35" s="13" t="s">
        <v>421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x14ac:dyDescent="0.3">
      <c r="A36" s="12">
        <v>3</v>
      </c>
      <c r="B36" s="12" t="s">
        <v>422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3">
      <c r="A37" s="13">
        <v>4</v>
      </c>
      <c r="B37" s="13" t="s">
        <v>411</v>
      </c>
      <c r="C37" s="13"/>
      <c r="D37" s="13"/>
      <c r="E37" s="13">
        <f>E34</f>
        <v>365488.70912576886</v>
      </c>
      <c r="F37" s="13">
        <f>F34</f>
        <v>469914.05459027423</v>
      </c>
      <c r="G37" s="13">
        <f t="shared" ref="G37:R37" si="1">G34</f>
        <v>522126.72732252697</v>
      </c>
      <c r="H37" s="13">
        <f t="shared" si="1"/>
        <v>522126.72732252697</v>
      </c>
      <c r="I37" s="13">
        <f t="shared" si="1"/>
        <v>522126.72732252697</v>
      </c>
      <c r="J37" s="13">
        <f t="shared" si="1"/>
        <v>522126.72732252697</v>
      </c>
      <c r="K37" s="13">
        <f t="shared" si="1"/>
        <v>522126.72732252697</v>
      </c>
      <c r="L37" s="13">
        <f t="shared" si="1"/>
        <v>522126.72732252697</v>
      </c>
      <c r="M37" s="13">
        <f t="shared" si="1"/>
        <v>522126.72732252697</v>
      </c>
      <c r="N37" s="13">
        <f t="shared" si="1"/>
        <v>522126.72732252697</v>
      </c>
      <c r="O37" s="13">
        <f t="shared" si="1"/>
        <v>522126.72732252697</v>
      </c>
      <c r="P37" s="13">
        <f t="shared" si="1"/>
        <v>522126.72732252697</v>
      </c>
      <c r="Q37" s="13">
        <f t="shared" si="1"/>
        <v>522126.72732252697</v>
      </c>
      <c r="R37" s="13">
        <f t="shared" si="1"/>
        <v>522126.72732252697</v>
      </c>
    </row>
    <row r="38" spans="1:18" x14ac:dyDescent="0.3">
      <c r="A38" s="12" t="s">
        <v>413</v>
      </c>
      <c r="B38" s="12" t="s">
        <v>423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x14ac:dyDescent="0.3">
      <c r="A39" s="13">
        <v>1</v>
      </c>
      <c r="B39" s="13" t="s">
        <v>486</v>
      </c>
      <c r="C39" s="13"/>
      <c r="D39" s="13">
        <f>建设投资估算表!C58</f>
        <v>35738.449950422546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1:18" x14ac:dyDescent="0.3">
      <c r="A40" s="12">
        <v>2</v>
      </c>
      <c r="B40" s="17" t="s">
        <v>329</v>
      </c>
      <c r="C40" s="12"/>
      <c r="D40" s="12">
        <f>建设期贷款利息!G19</f>
        <v>5360.7674925633828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x14ac:dyDescent="0.3">
      <c r="A41" s="13">
        <v>3</v>
      </c>
      <c r="B41" s="13" t="s">
        <v>424</v>
      </c>
      <c r="C41" s="13"/>
      <c r="D41" s="13"/>
      <c r="E41" s="13">
        <f>G41*0.7</f>
        <v>316324.66630260181</v>
      </c>
      <c r="F41" s="13">
        <f>G41*0.9</f>
        <v>406703.14238905953</v>
      </c>
      <c r="G41" s="13">
        <f>产品成本汇总表!C55</f>
        <v>451892.38043228834</v>
      </c>
      <c r="H41" s="13">
        <f>G41</f>
        <v>451892.38043228834</v>
      </c>
      <c r="I41" s="13">
        <f t="shared" ref="I41:R41" si="2">H41</f>
        <v>451892.38043228834</v>
      </c>
      <c r="J41" s="13">
        <f t="shared" si="2"/>
        <v>451892.38043228834</v>
      </c>
      <c r="K41" s="13">
        <f t="shared" si="2"/>
        <v>451892.38043228834</v>
      </c>
      <c r="L41" s="13">
        <f t="shared" si="2"/>
        <v>451892.38043228834</v>
      </c>
      <c r="M41" s="13">
        <f t="shared" si="2"/>
        <v>451892.38043228834</v>
      </c>
      <c r="N41" s="13">
        <f t="shared" si="2"/>
        <v>451892.38043228834</v>
      </c>
      <c r="O41" s="13">
        <f t="shared" si="2"/>
        <v>451892.38043228834</v>
      </c>
      <c r="P41" s="13">
        <f t="shared" si="2"/>
        <v>451892.38043228834</v>
      </c>
      <c r="Q41" s="13">
        <f t="shared" si="2"/>
        <v>451892.38043228834</v>
      </c>
      <c r="R41" s="13">
        <f t="shared" si="2"/>
        <v>451892.38043228834</v>
      </c>
    </row>
    <row r="42" spans="1:18" x14ac:dyDescent="0.3">
      <c r="A42" s="12">
        <v>4</v>
      </c>
      <c r="B42" s="12" t="s">
        <v>388</v>
      </c>
      <c r="C42" s="12"/>
      <c r="D42" s="12"/>
      <c r="E42" s="12">
        <f>D25</f>
        <v>6786.4062570254337</v>
      </c>
      <c r="F42" s="12">
        <f>E25</f>
        <v>8725.3794733184222</v>
      </c>
      <c r="G42" s="12">
        <f>F25</f>
        <v>9694.8660814649229</v>
      </c>
      <c r="H42" s="12">
        <f>G42</f>
        <v>9694.8660814649229</v>
      </c>
      <c r="I42" s="12">
        <f t="shared" ref="I42:R42" si="3">H42</f>
        <v>9694.8660814649229</v>
      </c>
      <c r="J42" s="12">
        <f t="shared" si="3"/>
        <v>9694.8660814649229</v>
      </c>
      <c r="K42" s="12">
        <f t="shared" si="3"/>
        <v>9694.8660814649229</v>
      </c>
      <c r="L42" s="12">
        <f t="shared" si="3"/>
        <v>9694.8660814649229</v>
      </c>
      <c r="M42" s="12">
        <f t="shared" si="3"/>
        <v>9694.8660814649229</v>
      </c>
      <c r="N42" s="12">
        <f t="shared" si="3"/>
        <v>9694.8660814649229</v>
      </c>
      <c r="O42" s="12">
        <f t="shared" si="3"/>
        <v>9694.8660814649229</v>
      </c>
      <c r="P42" s="12">
        <f t="shared" si="3"/>
        <v>9694.8660814649229</v>
      </c>
      <c r="Q42" s="12">
        <f t="shared" si="3"/>
        <v>9694.8660814649229</v>
      </c>
      <c r="R42" s="12">
        <f t="shared" si="3"/>
        <v>9694.8660814649229</v>
      </c>
    </row>
    <row r="43" spans="1:18" x14ac:dyDescent="0.3">
      <c r="A43" s="13">
        <v>5</v>
      </c>
      <c r="B43" s="13" t="s">
        <v>425</v>
      </c>
      <c r="C43" s="13"/>
      <c r="D43" s="13"/>
      <c r="E43" s="13">
        <f>建设期贷款利息!D13</f>
        <v>2000</v>
      </c>
      <c r="F43" s="13">
        <f>建设期贷款利息!E13</f>
        <v>2000</v>
      </c>
      <c r="G43" s="13">
        <f>建设期贷款利息!F13</f>
        <v>2000</v>
      </c>
      <c r="H43" s="13">
        <f>建设期贷款利息!G13</f>
        <v>2000</v>
      </c>
      <c r="I43" s="104">
        <f>建设期贷款利息!H13</f>
        <v>2000</v>
      </c>
      <c r="J43" s="104">
        <f>建设期贷款利息!I13</f>
        <v>2081.3741538887193</v>
      </c>
      <c r="K43" s="104"/>
      <c r="L43" s="13"/>
      <c r="M43" s="13"/>
      <c r="N43" s="13"/>
      <c r="O43" s="13"/>
      <c r="P43" s="13"/>
      <c r="Q43" s="13"/>
      <c r="R43" s="13"/>
    </row>
    <row r="44" spans="1:18" x14ac:dyDescent="0.3">
      <c r="A44" s="12">
        <v>6</v>
      </c>
      <c r="B44" s="12" t="s">
        <v>411</v>
      </c>
      <c r="C44" s="12"/>
      <c r="D44" s="12">
        <f>D39+D40</f>
        <v>41099.21744298593</v>
      </c>
      <c r="E44" s="12">
        <f t="shared" ref="E44:R44" si="4">SUM(E41:E43)</f>
        <v>325111.07255962724</v>
      </c>
      <c r="F44" s="12">
        <f t="shared" si="4"/>
        <v>417428.52186237794</v>
      </c>
      <c r="G44" s="12">
        <f t="shared" si="4"/>
        <v>463587.24651375326</v>
      </c>
      <c r="H44" s="12">
        <f t="shared" si="4"/>
        <v>463587.24651375326</v>
      </c>
      <c r="I44" s="12">
        <f t="shared" si="4"/>
        <v>463587.24651375326</v>
      </c>
      <c r="J44" s="12">
        <f t="shared" si="4"/>
        <v>463668.62066764198</v>
      </c>
      <c r="K44" s="12">
        <f t="shared" si="4"/>
        <v>461587.24651375326</v>
      </c>
      <c r="L44" s="12">
        <f t="shared" si="4"/>
        <v>461587.24651375326</v>
      </c>
      <c r="M44" s="12">
        <f t="shared" si="4"/>
        <v>461587.24651375326</v>
      </c>
      <c r="N44" s="12">
        <f t="shared" si="4"/>
        <v>461587.24651375326</v>
      </c>
      <c r="O44" s="12">
        <f t="shared" si="4"/>
        <v>461587.24651375326</v>
      </c>
      <c r="P44" s="12">
        <f t="shared" si="4"/>
        <v>461587.24651375326</v>
      </c>
      <c r="Q44" s="12">
        <f t="shared" si="4"/>
        <v>461587.24651375326</v>
      </c>
      <c r="R44" s="12">
        <f t="shared" si="4"/>
        <v>461587.24651375326</v>
      </c>
    </row>
    <row r="45" spans="1:18" x14ac:dyDescent="0.3">
      <c r="A45" s="13" t="s">
        <v>414</v>
      </c>
      <c r="B45" s="13" t="s">
        <v>426</v>
      </c>
      <c r="C45" s="13"/>
      <c r="D45" s="13">
        <f>-1*D44</f>
        <v>-41099.21744298593</v>
      </c>
      <c r="E45" s="13">
        <f t="shared" ref="E45:R45" si="5">E37-E44</f>
        <v>40377.63656614162</v>
      </c>
      <c r="F45" s="13">
        <f t="shared" si="5"/>
        <v>52485.532727896294</v>
      </c>
      <c r="G45" s="13">
        <f t="shared" si="5"/>
        <v>58539.480808773718</v>
      </c>
      <c r="H45" s="13">
        <f t="shared" si="5"/>
        <v>58539.480808773718</v>
      </c>
      <c r="I45" s="13">
        <f t="shared" si="5"/>
        <v>58539.480808773718</v>
      </c>
      <c r="J45" s="13">
        <f t="shared" si="5"/>
        <v>58458.106654884992</v>
      </c>
      <c r="K45" s="13">
        <f t="shared" si="5"/>
        <v>60539.480808773718</v>
      </c>
      <c r="L45" s="13">
        <f t="shared" si="5"/>
        <v>60539.480808773718</v>
      </c>
      <c r="M45" s="13">
        <f t="shared" si="5"/>
        <v>60539.480808773718</v>
      </c>
      <c r="N45" s="13">
        <f t="shared" si="5"/>
        <v>60539.480808773718</v>
      </c>
      <c r="O45" s="13">
        <f t="shared" si="5"/>
        <v>60539.480808773718</v>
      </c>
      <c r="P45" s="13">
        <f t="shared" si="5"/>
        <v>60539.480808773718</v>
      </c>
      <c r="Q45" s="13">
        <f t="shared" si="5"/>
        <v>60539.480808773718</v>
      </c>
      <c r="R45" s="13">
        <f t="shared" si="5"/>
        <v>60539.480808773718</v>
      </c>
    </row>
    <row r="46" spans="1:18" x14ac:dyDescent="0.3">
      <c r="A46" s="12" t="s">
        <v>415</v>
      </c>
      <c r="B46" s="17" t="s">
        <v>427</v>
      </c>
      <c r="C46" s="12"/>
      <c r="D46" s="12">
        <f>D45</f>
        <v>-41099.21744298593</v>
      </c>
      <c r="E46" s="12">
        <f t="shared" ref="E46:R46" si="6">D46+E45</f>
        <v>-721.58087684430939</v>
      </c>
      <c r="F46" s="12">
        <f t="shared" si="6"/>
        <v>51763.951851051985</v>
      </c>
      <c r="G46" s="12">
        <f t="shared" si="6"/>
        <v>110303.4326598257</v>
      </c>
      <c r="H46" s="12">
        <f t="shared" si="6"/>
        <v>168842.91346859944</v>
      </c>
      <c r="I46" s="12">
        <f t="shared" si="6"/>
        <v>227382.39427737315</v>
      </c>
      <c r="J46" s="12">
        <f t="shared" si="6"/>
        <v>285840.50093225815</v>
      </c>
      <c r="K46" s="12">
        <f t="shared" si="6"/>
        <v>346379.98174103186</v>
      </c>
      <c r="L46" s="12">
        <f t="shared" si="6"/>
        <v>406919.46254980558</v>
      </c>
      <c r="M46" s="12">
        <f t="shared" si="6"/>
        <v>467458.9433585793</v>
      </c>
      <c r="N46" s="12">
        <f t="shared" si="6"/>
        <v>527998.42416735296</v>
      </c>
      <c r="O46" s="12">
        <f t="shared" si="6"/>
        <v>588537.90497612674</v>
      </c>
      <c r="P46" s="12">
        <f t="shared" si="6"/>
        <v>649077.38578490051</v>
      </c>
      <c r="Q46" s="12">
        <f t="shared" si="6"/>
        <v>709616.86659367429</v>
      </c>
      <c r="R46" s="12">
        <f t="shared" si="6"/>
        <v>770156.34740244807</v>
      </c>
    </row>
    <row r="47" spans="1:18" x14ac:dyDescent="0.3">
      <c r="A47" s="13" t="s">
        <v>416</v>
      </c>
      <c r="B47" s="13" t="s">
        <v>390</v>
      </c>
      <c r="C47" s="13"/>
      <c r="D47" s="13"/>
      <c r="E47" s="13">
        <f>D27</f>
        <v>9985.3059622560631</v>
      </c>
      <c r="F47" s="13">
        <f>E27</f>
        <v>12838.250522900651</v>
      </c>
      <c r="G47" s="13">
        <f>F27</f>
        <v>14264.722803222947</v>
      </c>
      <c r="H47" s="13">
        <f>G47</f>
        <v>14264.722803222947</v>
      </c>
      <c r="I47" s="13">
        <f t="shared" ref="I47:R47" si="7">H47</f>
        <v>14264.722803222947</v>
      </c>
      <c r="J47" s="13">
        <f t="shared" si="7"/>
        <v>14264.722803222947</v>
      </c>
      <c r="K47" s="13">
        <f t="shared" si="7"/>
        <v>14264.722803222947</v>
      </c>
      <c r="L47" s="13">
        <f t="shared" si="7"/>
        <v>14264.722803222947</v>
      </c>
      <c r="M47" s="13">
        <f t="shared" si="7"/>
        <v>14264.722803222947</v>
      </c>
      <c r="N47" s="13">
        <f t="shared" si="7"/>
        <v>14264.722803222947</v>
      </c>
      <c r="O47" s="13">
        <f t="shared" si="7"/>
        <v>14264.722803222947</v>
      </c>
      <c r="P47" s="13">
        <f t="shared" si="7"/>
        <v>14264.722803222947</v>
      </c>
      <c r="Q47" s="13">
        <f t="shared" si="7"/>
        <v>14264.722803222947</v>
      </c>
      <c r="R47" s="13">
        <f t="shared" si="7"/>
        <v>14264.722803222947</v>
      </c>
    </row>
    <row r="48" spans="1:18" x14ac:dyDescent="0.3">
      <c r="A48" s="12" t="s">
        <v>417</v>
      </c>
      <c r="B48" s="12" t="s">
        <v>428</v>
      </c>
      <c r="C48" s="12"/>
      <c r="D48" s="12">
        <f>D46</f>
        <v>-41099.21744298593</v>
      </c>
      <c r="E48" s="12">
        <f t="shared" ref="E48:R48" si="8">E45-E47</f>
        <v>30392.330603885559</v>
      </c>
      <c r="F48" s="12">
        <f t="shared" si="8"/>
        <v>39647.282204995645</v>
      </c>
      <c r="G48" s="12">
        <f t="shared" si="8"/>
        <v>44274.758005550771</v>
      </c>
      <c r="H48" s="12">
        <f t="shared" si="8"/>
        <v>44274.758005550771</v>
      </c>
      <c r="I48" s="12">
        <f t="shared" si="8"/>
        <v>44274.758005550771</v>
      </c>
      <c r="J48" s="12">
        <f t="shared" si="8"/>
        <v>44193.383851662045</v>
      </c>
      <c r="K48" s="12">
        <f t="shared" si="8"/>
        <v>46274.758005550771</v>
      </c>
      <c r="L48" s="12">
        <f t="shared" si="8"/>
        <v>46274.758005550771</v>
      </c>
      <c r="M48" s="12">
        <f t="shared" si="8"/>
        <v>46274.758005550771</v>
      </c>
      <c r="N48" s="12">
        <f t="shared" si="8"/>
        <v>46274.758005550771</v>
      </c>
      <c r="O48" s="12">
        <f t="shared" si="8"/>
        <v>46274.758005550771</v>
      </c>
      <c r="P48" s="12">
        <f t="shared" si="8"/>
        <v>46274.758005550771</v>
      </c>
      <c r="Q48" s="12">
        <f t="shared" si="8"/>
        <v>46274.758005550771</v>
      </c>
      <c r="R48" s="12">
        <f t="shared" si="8"/>
        <v>46274.758005550771</v>
      </c>
    </row>
    <row r="49" spans="1:19" x14ac:dyDescent="0.3">
      <c r="A49" s="13" t="s">
        <v>429</v>
      </c>
      <c r="B49" s="13" t="s">
        <v>430</v>
      </c>
      <c r="C49" s="13">
        <v>0</v>
      </c>
      <c r="D49" s="13">
        <f>D48</f>
        <v>-41099.21744298593</v>
      </c>
      <c r="E49" s="13">
        <f t="shared" ref="E49:R49" si="9">D49+E48</f>
        <v>-10706.886839100371</v>
      </c>
      <c r="F49" s="13">
        <f t="shared" si="9"/>
        <v>28940.395365895274</v>
      </c>
      <c r="G49" s="13">
        <f t="shared" si="9"/>
        <v>73215.153371446038</v>
      </c>
      <c r="H49" s="13">
        <f t="shared" si="9"/>
        <v>117489.91137699681</v>
      </c>
      <c r="I49" s="13">
        <f t="shared" si="9"/>
        <v>161764.66938254758</v>
      </c>
      <c r="J49" s="13">
        <f t="shared" si="9"/>
        <v>205958.05323420963</v>
      </c>
      <c r="K49" s="13">
        <f t="shared" si="9"/>
        <v>252232.8112397604</v>
      </c>
      <c r="L49" s="13">
        <f t="shared" si="9"/>
        <v>298507.5692453112</v>
      </c>
      <c r="M49" s="13">
        <f t="shared" si="9"/>
        <v>344782.32725086197</v>
      </c>
      <c r="N49" s="13">
        <f t="shared" si="9"/>
        <v>391057.08525641274</v>
      </c>
      <c r="O49" s="13">
        <f t="shared" si="9"/>
        <v>437331.84326196351</v>
      </c>
      <c r="P49" s="13">
        <f t="shared" si="9"/>
        <v>483606.60126751428</v>
      </c>
      <c r="Q49" s="13">
        <f t="shared" si="9"/>
        <v>529881.35927306511</v>
      </c>
      <c r="R49" s="13">
        <f t="shared" si="9"/>
        <v>576156.11727861594</v>
      </c>
    </row>
    <row r="51" spans="1:19" ht="17.5" x14ac:dyDescent="0.3">
      <c r="A51" s="2" t="s">
        <v>431</v>
      </c>
    </row>
    <row r="52" spans="1:19" x14ac:dyDescent="0.3">
      <c r="A52" s="166" t="s">
        <v>374</v>
      </c>
      <c r="B52" s="166" t="s">
        <v>328</v>
      </c>
      <c r="C52" s="166" t="s">
        <v>402</v>
      </c>
      <c r="D52" s="166"/>
      <c r="E52" s="166" t="s">
        <v>403</v>
      </c>
      <c r="F52" s="166"/>
      <c r="G52" s="166" t="s">
        <v>404</v>
      </c>
      <c r="H52" s="166"/>
      <c r="I52" s="166" t="s">
        <v>403</v>
      </c>
      <c r="J52" s="166"/>
      <c r="K52" s="166"/>
      <c r="L52" s="166"/>
      <c r="M52" s="166"/>
      <c r="N52" s="166"/>
      <c r="O52" s="166"/>
      <c r="P52" s="166"/>
      <c r="Q52" s="166"/>
      <c r="R52" s="166"/>
      <c r="S52" s="13"/>
    </row>
    <row r="53" spans="1:19" x14ac:dyDescent="0.3">
      <c r="A53" s="166"/>
      <c r="B53" s="166"/>
      <c r="C53" s="11">
        <v>0</v>
      </c>
      <c r="D53" s="11">
        <v>1</v>
      </c>
      <c r="E53" s="11">
        <v>2</v>
      </c>
      <c r="F53" s="11">
        <v>3</v>
      </c>
      <c r="G53" s="11">
        <v>4</v>
      </c>
      <c r="H53" s="11">
        <v>5</v>
      </c>
      <c r="I53" s="11">
        <v>6</v>
      </c>
      <c r="J53" s="11">
        <v>7</v>
      </c>
      <c r="K53" s="11">
        <v>8</v>
      </c>
      <c r="L53" s="11">
        <v>9</v>
      </c>
      <c r="M53" s="11">
        <v>10</v>
      </c>
      <c r="N53" s="11">
        <v>11</v>
      </c>
      <c r="O53" s="11">
        <v>12</v>
      </c>
      <c r="P53" s="11">
        <v>13</v>
      </c>
      <c r="Q53" s="11">
        <v>14</v>
      </c>
      <c r="R53" s="11">
        <v>15</v>
      </c>
      <c r="S53" s="13"/>
    </row>
    <row r="54" spans="1:19" x14ac:dyDescent="0.3">
      <c r="A54" s="13" t="s">
        <v>412</v>
      </c>
      <c r="B54" s="13" t="s">
        <v>419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x14ac:dyDescent="0.3">
      <c r="A55" s="12">
        <v>1</v>
      </c>
      <c r="B55" s="12" t="s">
        <v>420</v>
      </c>
      <c r="C55" s="12"/>
      <c r="D55" s="12">
        <v>0</v>
      </c>
      <c r="E55" s="12">
        <f>E34</f>
        <v>365488.70912576886</v>
      </c>
      <c r="F55" s="12">
        <f t="shared" ref="F55:R55" si="10">F34</f>
        <v>469914.05459027423</v>
      </c>
      <c r="G55" s="12">
        <f t="shared" si="10"/>
        <v>522126.72732252697</v>
      </c>
      <c r="H55" s="12">
        <f t="shared" si="10"/>
        <v>522126.72732252697</v>
      </c>
      <c r="I55" s="12">
        <f t="shared" si="10"/>
        <v>522126.72732252697</v>
      </c>
      <c r="J55" s="12">
        <f t="shared" si="10"/>
        <v>522126.72732252697</v>
      </c>
      <c r="K55" s="12">
        <f t="shared" si="10"/>
        <v>522126.72732252697</v>
      </c>
      <c r="L55" s="12">
        <f t="shared" si="10"/>
        <v>522126.72732252697</v>
      </c>
      <c r="M55" s="12">
        <f t="shared" si="10"/>
        <v>522126.72732252697</v>
      </c>
      <c r="N55" s="12">
        <f t="shared" si="10"/>
        <v>522126.72732252697</v>
      </c>
      <c r="O55" s="12">
        <f t="shared" si="10"/>
        <v>522126.72732252697</v>
      </c>
      <c r="P55" s="12">
        <f t="shared" si="10"/>
        <v>522126.72732252697</v>
      </c>
      <c r="Q55" s="12">
        <f t="shared" si="10"/>
        <v>522126.72732252697</v>
      </c>
      <c r="R55" s="12">
        <f t="shared" si="10"/>
        <v>522126.72732252697</v>
      </c>
      <c r="S55" s="13"/>
    </row>
    <row r="56" spans="1:19" x14ac:dyDescent="0.3">
      <c r="A56" s="13">
        <v>2</v>
      </c>
      <c r="B56" s="13" t="s">
        <v>421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x14ac:dyDescent="0.3">
      <c r="A57" s="12">
        <v>3</v>
      </c>
      <c r="B57" s="12" t="s">
        <v>422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3"/>
    </row>
    <row r="58" spans="1:19" x14ac:dyDescent="0.3">
      <c r="A58" s="13">
        <v>4</v>
      </c>
      <c r="B58" s="13" t="s">
        <v>411</v>
      </c>
      <c r="C58" s="13"/>
      <c r="D58" s="13"/>
      <c r="E58" s="13">
        <f>E55</f>
        <v>365488.70912576886</v>
      </c>
      <c r="F58" s="13">
        <f t="shared" ref="F58:R58" si="11">F55</f>
        <v>469914.05459027423</v>
      </c>
      <c r="G58" s="13">
        <f t="shared" si="11"/>
        <v>522126.72732252697</v>
      </c>
      <c r="H58" s="13">
        <f t="shared" si="11"/>
        <v>522126.72732252697</v>
      </c>
      <c r="I58" s="13">
        <f t="shared" si="11"/>
        <v>522126.72732252697</v>
      </c>
      <c r="J58" s="13">
        <f t="shared" si="11"/>
        <v>522126.72732252697</v>
      </c>
      <c r="K58" s="13">
        <f t="shared" si="11"/>
        <v>522126.72732252697</v>
      </c>
      <c r="L58" s="13">
        <f t="shared" si="11"/>
        <v>522126.72732252697</v>
      </c>
      <c r="M58" s="13">
        <f t="shared" si="11"/>
        <v>522126.72732252697</v>
      </c>
      <c r="N58" s="13">
        <f t="shared" si="11"/>
        <v>522126.72732252697</v>
      </c>
      <c r="O58" s="13">
        <f t="shared" si="11"/>
        <v>522126.72732252697</v>
      </c>
      <c r="P58" s="13">
        <f t="shared" si="11"/>
        <v>522126.72732252697</v>
      </c>
      <c r="Q58" s="13">
        <f t="shared" si="11"/>
        <v>522126.72732252697</v>
      </c>
      <c r="R58" s="13">
        <f t="shared" si="11"/>
        <v>522126.72732252697</v>
      </c>
      <c r="S58" s="13"/>
    </row>
    <row r="59" spans="1:19" x14ac:dyDescent="0.3">
      <c r="A59" s="12" t="s">
        <v>413</v>
      </c>
      <c r="B59" s="12" t="s">
        <v>423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3"/>
    </row>
    <row r="60" spans="1:19" x14ac:dyDescent="0.3">
      <c r="A60" s="13">
        <v>1</v>
      </c>
      <c r="B60" s="13" t="s">
        <v>486</v>
      </c>
      <c r="C60" s="13"/>
      <c r="D60" s="13">
        <f>D39</f>
        <v>35738.449950422546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x14ac:dyDescent="0.3">
      <c r="A61" s="12">
        <v>2</v>
      </c>
      <c r="B61" s="12" t="s">
        <v>425</v>
      </c>
      <c r="C61" s="12"/>
      <c r="D61" s="12"/>
      <c r="E61" s="12">
        <f t="shared" ref="E61:J61" si="12">E43</f>
        <v>2000</v>
      </c>
      <c r="F61" s="12">
        <f t="shared" si="12"/>
        <v>2000</v>
      </c>
      <c r="G61" s="12">
        <f t="shared" si="12"/>
        <v>2000</v>
      </c>
      <c r="H61" s="12">
        <f t="shared" si="12"/>
        <v>2000</v>
      </c>
      <c r="I61" s="105">
        <f t="shared" si="12"/>
        <v>2000</v>
      </c>
      <c r="J61" s="105">
        <f t="shared" si="12"/>
        <v>2081.3741538887193</v>
      </c>
      <c r="K61" s="12"/>
      <c r="L61" s="12"/>
      <c r="M61" s="12"/>
      <c r="N61" s="12"/>
      <c r="O61" s="12"/>
      <c r="P61" s="12"/>
      <c r="Q61" s="12"/>
      <c r="R61" s="12"/>
      <c r="S61" s="13"/>
    </row>
    <row r="62" spans="1:19" x14ac:dyDescent="0.3">
      <c r="A62" s="13">
        <v>3</v>
      </c>
      <c r="B62" s="13" t="s">
        <v>424</v>
      </c>
      <c r="C62" s="13"/>
      <c r="D62" s="13"/>
      <c r="E62" s="13">
        <f>E41</f>
        <v>316324.66630260181</v>
      </c>
      <c r="F62" s="13">
        <f t="shared" ref="F62:R62" si="13">F41</f>
        <v>406703.14238905953</v>
      </c>
      <c r="G62" s="13">
        <f t="shared" si="13"/>
        <v>451892.38043228834</v>
      </c>
      <c r="H62" s="13">
        <f t="shared" si="13"/>
        <v>451892.38043228834</v>
      </c>
      <c r="I62" s="13">
        <f t="shared" si="13"/>
        <v>451892.38043228834</v>
      </c>
      <c r="J62" s="13">
        <f t="shared" si="13"/>
        <v>451892.38043228834</v>
      </c>
      <c r="K62" s="13">
        <f t="shared" si="13"/>
        <v>451892.38043228834</v>
      </c>
      <c r="L62" s="13">
        <f t="shared" si="13"/>
        <v>451892.38043228834</v>
      </c>
      <c r="M62" s="13">
        <f t="shared" si="13"/>
        <v>451892.38043228834</v>
      </c>
      <c r="N62" s="13">
        <f t="shared" si="13"/>
        <v>451892.38043228834</v>
      </c>
      <c r="O62" s="13">
        <f t="shared" si="13"/>
        <v>451892.38043228834</v>
      </c>
      <c r="P62" s="13">
        <f t="shared" si="13"/>
        <v>451892.38043228834</v>
      </c>
      <c r="Q62" s="13">
        <f t="shared" si="13"/>
        <v>451892.38043228834</v>
      </c>
      <c r="R62" s="13">
        <f t="shared" si="13"/>
        <v>451892.38043228834</v>
      </c>
      <c r="S62" s="13"/>
    </row>
    <row r="63" spans="1:19" x14ac:dyDescent="0.3">
      <c r="A63" s="12">
        <v>4</v>
      </c>
      <c r="B63" s="12" t="s">
        <v>388</v>
      </c>
      <c r="C63" s="12"/>
      <c r="D63" s="12"/>
      <c r="E63" s="12">
        <f>E42</f>
        <v>6786.4062570254337</v>
      </c>
      <c r="F63" s="12">
        <f t="shared" ref="F63:R63" si="14">F42</f>
        <v>8725.3794733184222</v>
      </c>
      <c r="G63" s="12">
        <f t="shared" si="14"/>
        <v>9694.8660814649229</v>
      </c>
      <c r="H63" s="12">
        <f t="shared" si="14"/>
        <v>9694.8660814649229</v>
      </c>
      <c r="I63" s="12">
        <f t="shared" si="14"/>
        <v>9694.8660814649229</v>
      </c>
      <c r="J63" s="12">
        <f t="shared" si="14"/>
        <v>9694.8660814649229</v>
      </c>
      <c r="K63" s="12">
        <f t="shared" si="14"/>
        <v>9694.8660814649229</v>
      </c>
      <c r="L63" s="12">
        <f t="shared" si="14"/>
        <v>9694.8660814649229</v>
      </c>
      <c r="M63" s="12">
        <f t="shared" si="14"/>
        <v>9694.8660814649229</v>
      </c>
      <c r="N63" s="12">
        <f t="shared" si="14"/>
        <v>9694.8660814649229</v>
      </c>
      <c r="O63" s="12">
        <f t="shared" si="14"/>
        <v>9694.8660814649229</v>
      </c>
      <c r="P63" s="12">
        <f t="shared" si="14"/>
        <v>9694.8660814649229</v>
      </c>
      <c r="Q63" s="12">
        <f t="shared" si="14"/>
        <v>9694.8660814649229</v>
      </c>
      <c r="R63" s="12">
        <f t="shared" si="14"/>
        <v>9694.8660814649229</v>
      </c>
      <c r="S63" s="13"/>
    </row>
    <row r="64" spans="1:19" x14ac:dyDescent="0.3">
      <c r="A64" s="13">
        <v>5</v>
      </c>
      <c r="B64" s="13" t="s">
        <v>390</v>
      </c>
      <c r="C64" s="13"/>
      <c r="D64" s="13"/>
      <c r="E64" s="13">
        <f>E47</f>
        <v>9985.3059622560631</v>
      </c>
      <c r="F64" s="13">
        <f t="shared" ref="F64:R64" si="15">F47</f>
        <v>12838.250522900651</v>
      </c>
      <c r="G64" s="13">
        <f t="shared" si="15"/>
        <v>14264.722803222947</v>
      </c>
      <c r="H64" s="13">
        <f t="shared" si="15"/>
        <v>14264.722803222947</v>
      </c>
      <c r="I64" s="13">
        <f t="shared" si="15"/>
        <v>14264.722803222947</v>
      </c>
      <c r="J64" s="13">
        <f t="shared" si="15"/>
        <v>14264.722803222947</v>
      </c>
      <c r="K64" s="13">
        <f t="shared" si="15"/>
        <v>14264.722803222947</v>
      </c>
      <c r="L64" s="13">
        <f t="shared" si="15"/>
        <v>14264.722803222947</v>
      </c>
      <c r="M64" s="13">
        <f t="shared" si="15"/>
        <v>14264.722803222947</v>
      </c>
      <c r="N64" s="13">
        <f t="shared" si="15"/>
        <v>14264.722803222947</v>
      </c>
      <c r="O64" s="13">
        <f t="shared" si="15"/>
        <v>14264.722803222947</v>
      </c>
      <c r="P64" s="13">
        <f t="shared" si="15"/>
        <v>14264.722803222947</v>
      </c>
      <c r="Q64" s="13">
        <f t="shared" si="15"/>
        <v>14264.722803222947</v>
      </c>
      <c r="R64" s="13">
        <f t="shared" si="15"/>
        <v>14264.722803222947</v>
      </c>
      <c r="S64" s="13"/>
    </row>
    <row r="65" spans="1:19" x14ac:dyDescent="0.3">
      <c r="A65" s="12">
        <v>6</v>
      </c>
      <c r="B65" s="12" t="s">
        <v>411</v>
      </c>
      <c r="C65" s="12"/>
      <c r="D65" s="12">
        <f>D60</f>
        <v>35738.449950422546</v>
      </c>
      <c r="E65" s="12">
        <f>SUM(E61:E64)</f>
        <v>335096.37852188328</v>
      </c>
      <c r="F65" s="12">
        <f t="shared" ref="F65:R65" si="16">SUM(F61:F64)</f>
        <v>430266.7723852786</v>
      </c>
      <c r="G65" s="12">
        <f t="shared" si="16"/>
        <v>477851.9693169762</v>
      </c>
      <c r="H65" s="12">
        <f t="shared" si="16"/>
        <v>477851.9693169762</v>
      </c>
      <c r="I65" s="12">
        <f t="shared" si="16"/>
        <v>477851.9693169762</v>
      </c>
      <c r="J65" s="12">
        <f t="shared" si="16"/>
        <v>477933.34347086493</v>
      </c>
      <c r="K65" s="12">
        <f t="shared" si="16"/>
        <v>475851.9693169762</v>
      </c>
      <c r="L65" s="12">
        <f t="shared" si="16"/>
        <v>475851.9693169762</v>
      </c>
      <c r="M65" s="12">
        <f t="shared" si="16"/>
        <v>475851.9693169762</v>
      </c>
      <c r="N65" s="12">
        <f t="shared" si="16"/>
        <v>475851.9693169762</v>
      </c>
      <c r="O65" s="12">
        <f t="shared" si="16"/>
        <v>475851.9693169762</v>
      </c>
      <c r="P65" s="12">
        <f t="shared" si="16"/>
        <v>475851.9693169762</v>
      </c>
      <c r="Q65" s="12">
        <f t="shared" si="16"/>
        <v>475851.9693169762</v>
      </c>
      <c r="R65" s="12">
        <f t="shared" si="16"/>
        <v>475851.9693169762</v>
      </c>
      <c r="S65" s="13"/>
    </row>
    <row r="66" spans="1:19" ht="15" customHeight="1" x14ac:dyDescent="0.3">
      <c r="A66" s="13" t="s">
        <v>414</v>
      </c>
      <c r="B66" s="13" t="s">
        <v>432</v>
      </c>
      <c r="C66" s="13"/>
      <c r="D66" s="13">
        <f>-D65</f>
        <v>-35738.449950422546</v>
      </c>
      <c r="E66" s="15">
        <f>E58-E65</f>
        <v>30392.330603885581</v>
      </c>
      <c r="F66" s="15">
        <f t="shared" ref="F66:R66" si="17">F58-F65</f>
        <v>39647.28220499563</v>
      </c>
      <c r="G66" s="15">
        <f t="shared" si="17"/>
        <v>44274.758005550771</v>
      </c>
      <c r="H66" s="15">
        <f t="shared" si="17"/>
        <v>44274.758005550771</v>
      </c>
      <c r="I66" s="15">
        <f t="shared" si="17"/>
        <v>44274.758005550771</v>
      </c>
      <c r="J66" s="15">
        <f t="shared" si="17"/>
        <v>44193.383851662045</v>
      </c>
      <c r="K66" s="15">
        <f t="shared" si="17"/>
        <v>46274.758005550771</v>
      </c>
      <c r="L66" s="15">
        <f t="shared" si="17"/>
        <v>46274.758005550771</v>
      </c>
      <c r="M66" s="15">
        <f t="shared" si="17"/>
        <v>46274.758005550771</v>
      </c>
      <c r="N66" s="15">
        <f t="shared" si="17"/>
        <v>46274.758005550771</v>
      </c>
      <c r="O66" s="15">
        <f t="shared" si="17"/>
        <v>46274.758005550771</v>
      </c>
      <c r="P66" s="15">
        <f t="shared" si="17"/>
        <v>46274.758005550771</v>
      </c>
      <c r="Q66" s="15">
        <f t="shared" si="17"/>
        <v>46274.758005550771</v>
      </c>
      <c r="R66" s="15">
        <f t="shared" si="17"/>
        <v>46274.758005550771</v>
      </c>
      <c r="S66" s="13"/>
    </row>
    <row r="67" spans="1:19" x14ac:dyDescent="0.3">
      <c r="A67" s="12" t="s">
        <v>415</v>
      </c>
      <c r="B67" s="12" t="s">
        <v>433</v>
      </c>
      <c r="C67" s="12">
        <v>0</v>
      </c>
      <c r="D67" s="12">
        <f>D66</f>
        <v>-35738.449950422546</v>
      </c>
      <c r="E67" s="12">
        <f>D67+E66</f>
        <v>-5346.1193465369652</v>
      </c>
      <c r="F67" s="12">
        <f t="shared" ref="F67:R67" si="18">E67+F66</f>
        <v>34301.162858458665</v>
      </c>
      <c r="G67" s="12">
        <f t="shared" si="18"/>
        <v>78575.920864009444</v>
      </c>
      <c r="H67" s="12">
        <f t="shared" si="18"/>
        <v>122850.67886956022</v>
      </c>
      <c r="I67" s="12">
        <f t="shared" si="18"/>
        <v>167125.43687511099</v>
      </c>
      <c r="J67" s="12">
        <f t="shared" si="18"/>
        <v>211318.82072677303</v>
      </c>
      <c r="K67" s="12">
        <f t="shared" si="18"/>
        <v>257593.5787323238</v>
      </c>
      <c r="L67" s="12">
        <f t="shared" si="18"/>
        <v>303868.33673787455</v>
      </c>
      <c r="M67" s="12">
        <f t="shared" si="18"/>
        <v>350143.09474342532</v>
      </c>
      <c r="N67" s="12">
        <f t="shared" si="18"/>
        <v>396417.85274897609</v>
      </c>
      <c r="O67" s="12">
        <f t="shared" si="18"/>
        <v>442692.61075452686</v>
      </c>
      <c r="P67" s="12">
        <f t="shared" si="18"/>
        <v>488967.36876007763</v>
      </c>
      <c r="Q67" s="12">
        <f t="shared" si="18"/>
        <v>535242.12676562835</v>
      </c>
      <c r="R67" s="12">
        <f t="shared" si="18"/>
        <v>581516.88477117918</v>
      </c>
      <c r="S67" s="13"/>
    </row>
    <row r="70" spans="1:19" x14ac:dyDescent="0.3">
      <c r="A70" s="38" t="s">
        <v>434</v>
      </c>
      <c r="B70" s="39">
        <f>3-1-E49/F49</f>
        <v>2.369963392128287</v>
      </c>
    </row>
    <row r="71" spans="1:19" x14ac:dyDescent="0.3">
      <c r="A71" s="38" t="s">
        <v>435</v>
      </c>
      <c r="B71" s="39">
        <f>F26/建设投资估算表!C69*100</f>
        <v>133.01289169432587</v>
      </c>
    </row>
    <row r="72" spans="1:19" x14ac:dyDescent="0.3">
      <c r="A72" s="38" t="s">
        <v>436</v>
      </c>
      <c r="B72" s="39">
        <f>(产品销售收入和税金估算!D10-产品销售收入和税金估算!D12)/建设投资估算表!C69*100</f>
        <v>155.61308852032957</v>
      </c>
    </row>
    <row r="73" spans="1:19" x14ac:dyDescent="0.3">
      <c r="A73" s="38" t="s">
        <v>437</v>
      </c>
      <c r="B73" s="39">
        <f>F28/D60*100</f>
        <v>119.74265383371187</v>
      </c>
    </row>
    <row r="75" spans="1:19" ht="14.5" thickBot="1" x14ac:dyDescent="0.35">
      <c r="A75" s="38" t="s">
        <v>487</v>
      </c>
    </row>
    <row r="76" spans="1:19" ht="31" thickBot="1" x14ac:dyDescent="0.35">
      <c r="A76" s="49" t="s">
        <v>488</v>
      </c>
      <c r="B76" s="50" t="s">
        <v>489</v>
      </c>
      <c r="C76" s="50" t="s">
        <v>490</v>
      </c>
      <c r="D76" s="50" t="s">
        <v>491</v>
      </c>
      <c r="E76" s="50" t="s">
        <v>492</v>
      </c>
    </row>
    <row r="77" spans="1:19" ht="14.5" thickBot="1" x14ac:dyDescent="0.35">
      <c r="A77" s="54">
        <v>0</v>
      </c>
      <c r="B77" s="54"/>
      <c r="C77" s="54"/>
      <c r="D77" s="54"/>
      <c r="E77" s="54">
        <v>0</v>
      </c>
    </row>
    <row r="78" spans="1:19" ht="14.5" thickBot="1" x14ac:dyDescent="0.35">
      <c r="A78" s="51">
        <v>1</v>
      </c>
      <c r="B78" s="52">
        <f>D66</f>
        <v>-35738.449950422546</v>
      </c>
      <c r="C78" s="52">
        <f>POWER(1.13,A78)</f>
        <v>1.1299999999999999</v>
      </c>
      <c r="D78" s="53">
        <f>B78/C78</f>
        <v>-31626.946858781019</v>
      </c>
      <c r="E78" s="53">
        <f>D78</f>
        <v>-31626.946858781019</v>
      </c>
    </row>
    <row r="79" spans="1:19" ht="14.5" thickBot="1" x14ac:dyDescent="0.35">
      <c r="A79" s="54">
        <v>2</v>
      </c>
      <c r="B79" s="55">
        <f>E66</f>
        <v>30392.330603885581</v>
      </c>
      <c r="C79" s="55">
        <f>POWER(1.13,A79)</f>
        <v>1.2768999999999997</v>
      </c>
      <c r="D79" s="56">
        <f t="shared" ref="D79:D92" si="19">B79/C79</f>
        <v>23801.652912432914</v>
      </c>
      <c r="E79" s="56">
        <f>D79+E78</f>
        <v>-7825.2939463481052</v>
      </c>
    </row>
    <row r="80" spans="1:19" ht="14.5" thickBot="1" x14ac:dyDescent="0.35">
      <c r="A80" s="51">
        <v>3</v>
      </c>
      <c r="B80" s="52">
        <f>F66</f>
        <v>39647.28220499563</v>
      </c>
      <c r="C80" s="52">
        <f t="shared" ref="C80:C92" si="20">POWER(1.13,A80)</f>
        <v>1.4428969999999994</v>
      </c>
      <c r="D80" s="53">
        <f t="shared" si="19"/>
        <v>27477.555366041823</v>
      </c>
      <c r="E80" s="53">
        <f t="shared" ref="E80:E92" si="21">D80+E79</f>
        <v>19652.261419693717</v>
      </c>
    </row>
    <row r="81" spans="1:5" ht="14.5" thickBot="1" x14ac:dyDescent="0.35">
      <c r="A81" s="54">
        <v>4</v>
      </c>
      <c r="B81" s="55">
        <v>29195.081590000002</v>
      </c>
      <c r="C81" s="55">
        <f t="shared" si="20"/>
        <v>1.6304736099999992</v>
      </c>
      <c r="D81" s="56">
        <f t="shared" si="19"/>
        <v>17905.890295274399</v>
      </c>
      <c r="E81" s="56">
        <f t="shared" si="21"/>
        <v>37558.151714968117</v>
      </c>
    </row>
    <row r="82" spans="1:5" ht="14.5" thickBot="1" x14ac:dyDescent="0.35">
      <c r="A82" s="51">
        <v>5</v>
      </c>
      <c r="B82" s="52">
        <f>G66</f>
        <v>44274.758005550771</v>
      </c>
      <c r="C82" s="52">
        <f t="shared" si="20"/>
        <v>1.8424351792999989</v>
      </c>
      <c r="D82" s="53">
        <f t="shared" si="19"/>
        <v>24030.564821483811</v>
      </c>
      <c r="E82" s="53">
        <f t="shared" si="21"/>
        <v>61588.716536451931</v>
      </c>
    </row>
    <row r="83" spans="1:5" ht="14.5" thickBot="1" x14ac:dyDescent="0.35">
      <c r="A83" s="54">
        <v>6</v>
      </c>
      <c r="B83" s="55">
        <f>H66</f>
        <v>44274.758005550771</v>
      </c>
      <c r="C83" s="55">
        <f t="shared" si="20"/>
        <v>2.0819517526089983</v>
      </c>
      <c r="D83" s="56">
        <f t="shared" si="19"/>
        <v>21265.986567684791</v>
      </c>
      <c r="E83" s="56">
        <f t="shared" si="21"/>
        <v>82854.703104136715</v>
      </c>
    </row>
    <row r="84" spans="1:5" ht="14.5" thickBot="1" x14ac:dyDescent="0.35">
      <c r="A84" s="51">
        <v>7</v>
      </c>
      <c r="B84" s="52">
        <f>J66</f>
        <v>44193.383851662045</v>
      </c>
      <c r="C84" s="52">
        <f t="shared" si="20"/>
        <v>2.352605480448168</v>
      </c>
      <c r="D84" s="53">
        <f t="shared" si="19"/>
        <v>18784.868189307825</v>
      </c>
      <c r="E84" s="53">
        <f t="shared" si="21"/>
        <v>101639.57129344455</v>
      </c>
    </row>
    <row r="85" spans="1:5" ht="14.5" thickBot="1" x14ac:dyDescent="0.35">
      <c r="A85" s="54">
        <v>8</v>
      </c>
      <c r="B85" s="55">
        <f>K66</f>
        <v>46274.758005550771</v>
      </c>
      <c r="C85" s="55">
        <f t="shared" si="20"/>
        <v>2.6584441929064297</v>
      </c>
      <c r="D85" s="56">
        <f t="shared" si="19"/>
        <v>17406.706572598541</v>
      </c>
      <c r="E85" s="56">
        <f t="shared" si="21"/>
        <v>119046.27786604309</v>
      </c>
    </row>
    <row r="86" spans="1:5" ht="14.5" thickBot="1" x14ac:dyDescent="0.35">
      <c r="A86" s="51">
        <v>9</v>
      </c>
      <c r="B86" s="52">
        <f>L66</f>
        <v>46274.758005550771</v>
      </c>
      <c r="C86" s="52">
        <f t="shared" si="20"/>
        <v>3.0040419379842653</v>
      </c>
      <c r="D86" s="53">
        <f t="shared" si="19"/>
        <v>15404.165108494284</v>
      </c>
      <c r="E86" s="53">
        <f t="shared" si="21"/>
        <v>134450.44297453738</v>
      </c>
    </row>
    <row r="87" spans="1:5" ht="14.5" thickBot="1" x14ac:dyDescent="0.35">
      <c r="A87" s="54">
        <v>10</v>
      </c>
      <c r="B87" s="55">
        <f t="shared" ref="B87:B92" si="22">B86</f>
        <v>46274.758005550771</v>
      </c>
      <c r="C87" s="55">
        <f t="shared" si="20"/>
        <v>3.3945673899222193</v>
      </c>
      <c r="D87" s="56">
        <f t="shared" si="19"/>
        <v>13632.004520791405</v>
      </c>
      <c r="E87" s="56">
        <f t="shared" si="21"/>
        <v>148082.44749532879</v>
      </c>
    </row>
    <row r="88" spans="1:5" ht="14.5" thickBot="1" x14ac:dyDescent="0.35">
      <c r="A88" s="51">
        <v>11</v>
      </c>
      <c r="B88" s="52">
        <f t="shared" si="22"/>
        <v>46274.758005550771</v>
      </c>
      <c r="C88" s="52">
        <f t="shared" si="20"/>
        <v>3.8358611506121072</v>
      </c>
      <c r="D88" s="53">
        <f t="shared" si="19"/>
        <v>12063.720814859651</v>
      </c>
      <c r="E88" s="53">
        <f t="shared" si="21"/>
        <v>160146.16831018843</v>
      </c>
    </row>
    <row r="89" spans="1:5" ht="14.5" thickBot="1" x14ac:dyDescent="0.35">
      <c r="A89" s="54">
        <v>12</v>
      </c>
      <c r="B89" s="55">
        <f t="shared" si="22"/>
        <v>46274.758005550771</v>
      </c>
      <c r="C89" s="55">
        <f t="shared" si="20"/>
        <v>4.3345231001916806</v>
      </c>
      <c r="D89" s="56">
        <f t="shared" si="19"/>
        <v>10675.859128194383</v>
      </c>
      <c r="E89" s="56">
        <f t="shared" si="21"/>
        <v>170822.02743838282</v>
      </c>
    </row>
    <row r="90" spans="1:5" ht="14.5" thickBot="1" x14ac:dyDescent="0.35">
      <c r="A90" s="51">
        <v>13</v>
      </c>
      <c r="B90" s="52">
        <f t="shared" si="22"/>
        <v>46274.758005550771</v>
      </c>
      <c r="C90" s="52">
        <f t="shared" si="20"/>
        <v>4.8980111032165992</v>
      </c>
      <c r="D90" s="53">
        <f t="shared" si="19"/>
        <v>9447.6629453047644</v>
      </c>
      <c r="E90" s="53">
        <f t="shared" si="21"/>
        <v>180269.69038368759</v>
      </c>
    </row>
    <row r="91" spans="1:5" ht="14.5" thickBot="1" x14ac:dyDescent="0.35">
      <c r="A91" s="54">
        <v>14</v>
      </c>
      <c r="B91" s="55">
        <f t="shared" si="22"/>
        <v>46274.758005550771</v>
      </c>
      <c r="C91" s="55">
        <f t="shared" si="20"/>
        <v>5.5347525466347554</v>
      </c>
      <c r="D91" s="56">
        <f t="shared" si="19"/>
        <v>8360.7636684112986</v>
      </c>
      <c r="E91" s="56">
        <f t="shared" si="21"/>
        <v>188630.45405209888</v>
      </c>
    </row>
    <row r="92" spans="1:5" ht="14.5" thickBot="1" x14ac:dyDescent="0.35">
      <c r="A92" s="51">
        <v>15</v>
      </c>
      <c r="B92" s="52">
        <f t="shared" si="22"/>
        <v>46274.758005550771</v>
      </c>
      <c r="C92" s="52">
        <f t="shared" si="20"/>
        <v>6.2542703776972735</v>
      </c>
      <c r="D92" s="53">
        <f t="shared" si="19"/>
        <v>7398.9059012489361</v>
      </c>
      <c r="E92" s="53">
        <f t="shared" si="21"/>
        <v>196029.35995334783</v>
      </c>
    </row>
    <row r="94" spans="1:5" x14ac:dyDescent="0.3">
      <c r="A94" s="36" t="s">
        <v>493</v>
      </c>
      <c r="B94" s="15">
        <f>E92/建设投资估算表!C69*100</f>
        <v>456.97403980558704</v>
      </c>
    </row>
    <row r="95" spans="1:5" x14ac:dyDescent="0.3">
      <c r="A95" s="36" t="s">
        <v>494</v>
      </c>
      <c r="B95" s="15">
        <f>3-1-E79/B80</f>
        <v>2.1973727708721005</v>
      </c>
    </row>
    <row r="97" spans="1:12" ht="14.5" thickBot="1" x14ac:dyDescent="0.35">
      <c r="A97" s="36" t="s">
        <v>499</v>
      </c>
      <c r="B97">
        <v>0.89097000000000004</v>
      </c>
      <c r="I97">
        <v>1.0420799999999999</v>
      </c>
    </row>
    <row r="98" spans="1:12" ht="45.5" thickBot="1" x14ac:dyDescent="0.35">
      <c r="A98" s="57" t="s">
        <v>495</v>
      </c>
      <c r="B98" s="58" t="s">
        <v>528</v>
      </c>
      <c r="C98" s="58" t="s">
        <v>496</v>
      </c>
      <c r="D98" s="58" t="s">
        <v>497</v>
      </c>
      <c r="E98" s="58" t="s">
        <v>498</v>
      </c>
      <c r="H98" s="57" t="s">
        <v>495</v>
      </c>
      <c r="I98" s="58" t="s">
        <v>528</v>
      </c>
      <c r="J98" s="58" t="s">
        <v>496</v>
      </c>
      <c r="K98" s="58" t="s">
        <v>497</v>
      </c>
      <c r="L98" s="58" t="s">
        <v>498</v>
      </c>
    </row>
    <row r="99" spans="1:12" ht="14.5" thickBot="1" x14ac:dyDescent="0.35">
      <c r="A99" s="59">
        <v>1</v>
      </c>
      <c r="B99" s="60">
        <f>D48</f>
        <v>-41099.21744298593</v>
      </c>
      <c r="C99" s="60">
        <f>POWER($B$97+1,A99)</f>
        <v>1.89097</v>
      </c>
      <c r="D99" s="60">
        <f>B99/C99</f>
        <v>-21734.462970319957</v>
      </c>
      <c r="E99" s="61">
        <f>D99</f>
        <v>-21734.462970319957</v>
      </c>
      <c r="H99" s="59">
        <v>1</v>
      </c>
      <c r="I99" s="60">
        <f>D66</f>
        <v>-35738.449950422546</v>
      </c>
      <c r="J99" s="60">
        <f>POWER($I$97+1,H99)</f>
        <v>2.0420799999999999</v>
      </c>
      <c r="K99" s="60">
        <f>I99/J99</f>
        <v>-17501.003854120576</v>
      </c>
      <c r="L99" s="61">
        <f>K99</f>
        <v>-17501.003854120576</v>
      </c>
    </row>
    <row r="100" spans="1:12" ht="14.5" thickBot="1" x14ac:dyDescent="0.35">
      <c r="A100" s="62">
        <v>2</v>
      </c>
      <c r="B100" s="63">
        <f>E48</f>
        <v>30392.330603885559</v>
      </c>
      <c r="C100" s="63">
        <f t="shared" ref="C100:C113" si="23">POWER($B$97+1,A100)</f>
        <v>3.5757675409000003</v>
      </c>
      <c r="D100" s="63">
        <f t="shared" ref="D100:D113" si="24">B100/C100</f>
        <v>8499.5263971315053</v>
      </c>
      <c r="E100" s="64">
        <f>D100+E99</f>
        <v>-13234.936573188452</v>
      </c>
      <c r="H100" s="62">
        <v>2</v>
      </c>
      <c r="I100" s="60">
        <f>E66</f>
        <v>30392.330603885581</v>
      </c>
      <c r="J100" s="60">
        <f t="shared" ref="J100:J113" si="25">POWER($I$97+1,H100)</f>
        <v>4.1700907263999998</v>
      </c>
      <c r="K100" s="63">
        <f t="shared" ref="K100:K113" si="26">I100/J100</f>
        <v>7288.1701137766358</v>
      </c>
      <c r="L100" s="64">
        <f>K100+L99</f>
        <v>-10212.83374034394</v>
      </c>
    </row>
    <row r="101" spans="1:12" ht="14.5" thickBot="1" x14ac:dyDescent="0.35">
      <c r="A101" s="65">
        <v>3</v>
      </c>
      <c r="B101" s="66">
        <f>F48</f>
        <v>39647.282204995645</v>
      </c>
      <c r="C101" s="66">
        <f t="shared" si="23"/>
        <v>6.7616691468156738</v>
      </c>
      <c r="D101" s="66">
        <f t="shared" si="24"/>
        <v>5863.5347787856572</v>
      </c>
      <c r="E101" s="67">
        <f t="shared" ref="E101:E113" si="27">D101+E100</f>
        <v>-7371.4017944027946</v>
      </c>
      <c r="H101" s="65">
        <v>3</v>
      </c>
      <c r="I101" s="60">
        <f>G66</f>
        <v>44274.758005550771</v>
      </c>
      <c r="J101" s="60">
        <f t="shared" si="25"/>
        <v>8.5156588705669112</v>
      </c>
      <c r="K101" s="66">
        <f t="shared" si="26"/>
        <v>5199.2169576660453</v>
      </c>
      <c r="L101" s="67">
        <f t="shared" ref="L101:L113" si="28">K101+L100</f>
        <v>-5013.6167826778947</v>
      </c>
    </row>
    <row r="102" spans="1:12" ht="14.5" thickBot="1" x14ac:dyDescent="0.35">
      <c r="A102" s="62">
        <v>4</v>
      </c>
      <c r="B102" s="63">
        <f>G48</f>
        <v>44274.758005550771</v>
      </c>
      <c r="C102" s="63">
        <f t="shared" si="23"/>
        <v>12.786113506554035</v>
      </c>
      <c r="D102" s="63">
        <f t="shared" si="24"/>
        <v>3462.7221151177778</v>
      </c>
      <c r="E102" s="64">
        <f t="shared" si="27"/>
        <v>-3908.6796792850168</v>
      </c>
      <c r="H102" s="62">
        <v>4</v>
      </c>
      <c r="I102" s="60">
        <f>H66</f>
        <v>44274.758005550771</v>
      </c>
      <c r="J102" s="60">
        <f t="shared" si="25"/>
        <v>17.389656666407276</v>
      </c>
      <c r="K102" s="63">
        <f t="shared" si="26"/>
        <v>2546.0398014113289</v>
      </c>
      <c r="L102" s="64">
        <f t="shared" si="28"/>
        <v>-2467.5769812665658</v>
      </c>
    </row>
    <row r="103" spans="1:12" ht="14.5" thickBot="1" x14ac:dyDescent="0.35">
      <c r="A103" s="65">
        <v>5</v>
      </c>
      <c r="B103" s="66">
        <f>H48</f>
        <v>44274.758005550771</v>
      </c>
      <c r="C103" s="66">
        <f t="shared" si="23"/>
        <v>24.178157057488484</v>
      </c>
      <c r="D103" s="66">
        <f t="shared" si="24"/>
        <v>1831.1882870261175</v>
      </c>
      <c r="E103" s="67">
        <f t="shared" si="27"/>
        <v>-2077.4913922588994</v>
      </c>
      <c r="H103" s="65">
        <v>5</v>
      </c>
      <c r="I103" s="60">
        <f>I66</f>
        <v>44274.758005550771</v>
      </c>
      <c r="J103" s="60">
        <f t="shared" si="25"/>
        <v>35.511070085336968</v>
      </c>
      <c r="K103" s="66">
        <f t="shared" si="26"/>
        <v>1246.7874918765813</v>
      </c>
      <c r="L103" s="67">
        <f t="shared" si="28"/>
        <v>-1220.7894893899845</v>
      </c>
    </row>
    <row r="104" spans="1:12" ht="14.5" thickBot="1" x14ac:dyDescent="0.35">
      <c r="A104" s="62">
        <v>6</v>
      </c>
      <c r="B104" s="63">
        <f>H48</f>
        <v>44274.758005550771</v>
      </c>
      <c r="C104" s="63">
        <f t="shared" si="23"/>
        <v>45.720169650998997</v>
      </c>
      <c r="D104" s="63">
        <f t="shared" si="24"/>
        <v>968.38568936901038</v>
      </c>
      <c r="E104" s="64">
        <f t="shared" si="27"/>
        <v>-1109.105702889889</v>
      </c>
      <c r="H104" s="62">
        <v>6</v>
      </c>
      <c r="I104" s="60">
        <f>J66</f>
        <v>44193.383851662045</v>
      </c>
      <c r="J104" s="60">
        <f t="shared" si="25"/>
        <v>72.516445999864914</v>
      </c>
      <c r="K104" s="63">
        <f t="shared" si="26"/>
        <v>609.42567223639685</v>
      </c>
      <c r="L104" s="64">
        <f t="shared" si="28"/>
        <v>-611.36381715358766</v>
      </c>
    </row>
    <row r="105" spans="1:12" ht="14.5" thickBot="1" x14ac:dyDescent="0.35">
      <c r="A105" s="65">
        <v>7</v>
      </c>
      <c r="B105" s="66">
        <f>B104</f>
        <v>44274.758005550771</v>
      </c>
      <c r="C105" s="66">
        <f t="shared" si="23"/>
        <v>86.45546920494958</v>
      </c>
      <c r="D105" s="66">
        <f t="shared" si="24"/>
        <v>512.11055139373457</v>
      </c>
      <c r="E105" s="67">
        <f t="shared" si="27"/>
        <v>-596.99515149615445</v>
      </c>
      <c r="H105" s="65">
        <v>7</v>
      </c>
      <c r="I105" s="60">
        <f>K66</f>
        <v>46274.758005550771</v>
      </c>
      <c r="J105" s="60">
        <f t="shared" si="25"/>
        <v>148.08438404740414</v>
      </c>
      <c r="K105" s="66">
        <f t="shared" si="26"/>
        <v>312.48911425216511</v>
      </c>
      <c r="L105" s="67">
        <f t="shared" si="28"/>
        <v>-298.87470290142255</v>
      </c>
    </row>
    <row r="106" spans="1:12" ht="14.5" thickBot="1" x14ac:dyDescent="0.35">
      <c r="A106" s="62">
        <v>8</v>
      </c>
      <c r="B106" s="63">
        <f>K48</f>
        <v>46274.758005550771</v>
      </c>
      <c r="C106" s="63">
        <f t="shared" si="23"/>
        <v>163.48469860248352</v>
      </c>
      <c r="D106" s="63">
        <f t="shared" si="24"/>
        <v>283.05253275151347</v>
      </c>
      <c r="E106" s="64">
        <f t="shared" si="27"/>
        <v>-313.94261874464098</v>
      </c>
      <c r="H106" s="62">
        <v>8</v>
      </c>
      <c r="I106" s="60">
        <f>L66</f>
        <v>46274.758005550771</v>
      </c>
      <c r="J106" s="60">
        <f t="shared" si="25"/>
        <v>302.40015897552303</v>
      </c>
      <c r="K106" s="63">
        <f t="shared" si="26"/>
        <v>153.02491295745767</v>
      </c>
      <c r="L106" s="64">
        <f t="shared" si="28"/>
        <v>-145.84978994396488</v>
      </c>
    </row>
    <row r="107" spans="1:12" ht="14.5" thickBot="1" x14ac:dyDescent="0.35">
      <c r="A107" s="65">
        <v>9</v>
      </c>
      <c r="B107" s="66">
        <f>L48</f>
        <v>46274.758005550771</v>
      </c>
      <c r="C107" s="66">
        <f t="shared" si="23"/>
        <v>309.14466051633826</v>
      </c>
      <c r="D107" s="66">
        <f t="shared" si="24"/>
        <v>149.68642165212216</v>
      </c>
      <c r="E107" s="67">
        <f t="shared" si="27"/>
        <v>-164.25619709251882</v>
      </c>
      <c r="H107" s="65">
        <v>9</v>
      </c>
      <c r="I107" s="60">
        <f>M66</f>
        <v>46274.758005550771</v>
      </c>
      <c r="J107" s="60">
        <f t="shared" si="25"/>
        <v>617.52531664073604</v>
      </c>
      <c r="K107" s="66">
        <f t="shared" si="26"/>
        <v>74.935807097399547</v>
      </c>
      <c r="L107" s="67">
        <f t="shared" si="28"/>
        <v>-70.913982846565332</v>
      </c>
    </row>
    <row r="108" spans="1:12" ht="14.5" thickBot="1" x14ac:dyDescent="0.35">
      <c r="A108" s="62">
        <v>10</v>
      </c>
      <c r="B108" s="63">
        <f t="shared" ref="B108:B113" si="29">B107</f>
        <v>46274.758005550771</v>
      </c>
      <c r="C108" s="63">
        <f t="shared" si="23"/>
        <v>584.58327869658024</v>
      </c>
      <c r="D108" s="63">
        <f t="shared" si="24"/>
        <v>79.158538555409208</v>
      </c>
      <c r="E108" s="64">
        <f t="shared" si="27"/>
        <v>-85.097658537109609</v>
      </c>
      <c r="H108" s="62">
        <v>10</v>
      </c>
      <c r="I108" s="60">
        <f>N66</f>
        <v>46274.758005550771</v>
      </c>
      <c r="J108" s="60">
        <f t="shared" si="25"/>
        <v>1261.0360986057142</v>
      </c>
      <c r="K108" s="63">
        <f t="shared" si="26"/>
        <v>36.695823423861725</v>
      </c>
      <c r="L108" s="64">
        <f t="shared" si="28"/>
        <v>-34.218159422703607</v>
      </c>
    </row>
    <row r="109" spans="1:12" ht="14.5" thickBot="1" x14ac:dyDescent="0.35">
      <c r="A109" s="65">
        <v>11</v>
      </c>
      <c r="B109" s="66">
        <f t="shared" si="29"/>
        <v>46274.758005550771</v>
      </c>
      <c r="C109" s="66">
        <f t="shared" si="23"/>
        <v>1105.4294425168723</v>
      </c>
      <c r="D109" s="66">
        <f t="shared" si="24"/>
        <v>41.861340240939413</v>
      </c>
      <c r="E109" s="67">
        <f t="shared" si="27"/>
        <v>-43.236318296170197</v>
      </c>
      <c r="H109" s="65">
        <v>11</v>
      </c>
      <c r="I109" s="60">
        <f>O66</f>
        <v>46274.758005550771</v>
      </c>
      <c r="J109" s="60">
        <f t="shared" si="25"/>
        <v>2575.1365962407567</v>
      </c>
      <c r="K109" s="66">
        <f t="shared" si="26"/>
        <v>17.969826561085622</v>
      </c>
      <c r="L109" s="67">
        <f t="shared" si="28"/>
        <v>-16.248332861617985</v>
      </c>
    </row>
    <row r="110" spans="1:12" ht="14.5" thickBot="1" x14ac:dyDescent="0.35">
      <c r="A110" s="62">
        <v>12</v>
      </c>
      <c r="B110" s="63">
        <f t="shared" si="29"/>
        <v>46274.758005550771</v>
      </c>
      <c r="C110" s="63">
        <f t="shared" si="23"/>
        <v>2090.33391291613</v>
      </c>
      <c r="D110" s="63">
        <f t="shared" si="24"/>
        <v>22.137495698471906</v>
      </c>
      <c r="E110" s="64">
        <f t="shared" si="27"/>
        <v>-21.098822597698291</v>
      </c>
      <c r="H110" s="62">
        <v>12</v>
      </c>
      <c r="I110" s="60">
        <f>P66</f>
        <v>46274.758005550771</v>
      </c>
      <c r="J110" s="60">
        <f t="shared" si="25"/>
        <v>5258.6349404513239</v>
      </c>
      <c r="K110" s="63">
        <f t="shared" si="26"/>
        <v>8.7997661997011001</v>
      </c>
      <c r="L110" s="64">
        <f t="shared" si="28"/>
        <v>-7.4485666619168853</v>
      </c>
    </row>
    <row r="111" spans="1:12" ht="14.5" thickBot="1" x14ac:dyDescent="0.35">
      <c r="A111" s="65">
        <v>13</v>
      </c>
      <c r="B111" s="66">
        <f t="shared" si="29"/>
        <v>46274.758005550771</v>
      </c>
      <c r="C111" s="66">
        <f t="shared" si="23"/>
        <v>3952.7587193070144</v>
      </c>
      <c r="D111" s="66">
        <f t="shared" si="24"/>
        <v>11.706952356976528</v>
      </c>
      <c r="E111" s="67">
        <f t="shared" si="27"/>
        <v>-9.3918702407217634</v>
      </c>
      <c r="H111" s="65">
        <v>13</v>
      </c>
      <c r="I111" s="60">
        <f>Q66</f>
        <v>46274.758005550771</v>
      </c>
      <c r="J111" s="60">
        <f t="shared" si="25"/>
        <v>10738.553239196839</v>
      </c>
      <c r="K111" s="66">
        <f t="shared" si="26"/>
        <v>4.3092171705815154</v>
      </c>
      <c r="L111" s="67">
        <f t="shared" si="28"/>
        <v>-3.1393494913353699</v>
      </c>
    </row>
    <row r="112" spans="1:12" ht="14.5" thickBot="1" x14ac:dyDescent="0.35">
      <c r="A112" s="62">
        <v>14</v>
      </c>
      <c r="B112" s="63">
        <f t="shared" si="29"/>
        <v>46274.758005550771</v>
      </c>
      <c r="C112" s="63">
        <f t="shared" si="23"/>
        <v>7474.5481554479848</v>
      </c>
      <c r="D112" s="63">
        <f t="shared" si="24"/>
        <v>6.1909773063435845</v>
      </c>
      <c r="E112" s="64">
        <f t="shared" si="27"/>
        <v>-3.2008929343781789</v>
      </c>
      <c r="H112" s="62">
        <v>14</v>
      </c>
      <c r="I112" s="60">
        <f>R66</f>
        <v>46274.758005550771</v>
      </c>
      <c r="J112" s="60">
        <f t="shared" si="25"/>
        <v>21928.984798699079</v>
      </c>
      <c r="K112" s="63">
        <f t="shared" si="26"/>
        <v>2.1102097716943096</v>
      </c>
      <c r="L112" s="64">
        <f t="shared" si="28"/>
        <v>-1.0291397196410603</v>
      </c>
    </row>
    <row r="113" spans="1:12" ht="14.5" thickBot="1" x14ac:dyDescent="0.35">
      <c r="A113" s="65">
        <v>15</v>
      </c>
      <c r="B113" s="66">
        <f t="shared" si="29"/>
        <v>46274.758005550771</v>
      </c>
      <c r="C113" s="66">
        <f t="shared" si="23"/>
        <v>14134.146325507478</v>
      </c>
      <c r="D113" s="66">
        <f t="shared" si="24"/>
        <v>3.2739690774277665</v>
      </c>
      <c r="E113" s="67">
        <f t="shared" si="27"/>
        <v>7.307614304958765E-2</v>
      </c>
      <c r="H113" s="65">
        <v>15</v>
      </c>
      <c r="I113" s="60">
        <f>I112</f>
        <v>46274.758005550771</v>
      </c>
      <c r="J113" s="60">
        <f t="shared" si="25"/>
        <v>44780.741277727422</v>
      </c>
      <c r="K113" s="66">
        <f t="shared" si="26"/>
        <v>1.033362929804077</v>
      </c>
      <c r="L113" s="67">
        <f t="shared" si="28"/>
        <v>4.223210163016633E-3</v>
      </c>
    </row>
  </sheetData>
  <mergeCells count="16">
    <mergeCell ref="G52:H52"/>
    <mergeCell ref="I52:R52"/>
    <mergeCell ref="C31:F31"/>
    <mergeCell ref="A31:A32"/>
    <mergeCell ref="B31:B32"/>
    <mergeCell ref="A52:A53"/>
    <mergeCell ref="B52:B53"/>
    <mergeCell ref="C52:D52"/>
    <mergeCell ref="E52:F52"/>
    <mergeCell ref="N31:R31"/>
    <mergeCell ref="H31:M31"/>
    <mergeCell ref="A14:A15"/>
    <mergeCell ref="B14:B15"/>
    <mergeCell ref="D14:E14"/>
    <mergeCell ref="A20:A22"/>
    <mergeCell ref="C19:F19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2E9B-CD2B-47B3-9081-86F189F2E4CA}">
  <dimension ref="A1:M30"/>
  <sheetViews>
    <sheetView zoomScale="58" zoomScaleNormal="58" workbookViewId="0">
      <selection activeCell="A27" sqref="A27:F30"/>
    </sheetView>
  </sheetViews>
  <sheetFormatPr defaultRowHeight="14" x14ac:dyDescent="0.3"/>
  <cols>
    <col min="1" max="1" width="25.83203125" customWidth="1"/>
    <col min="2" max="2" width="24.5" customWidth="1"/>
    <col min="3" max="3" width="20" customWidth="1"/>
    <col min="4" max="4" width="12.9140625" customWidth="1"/>
    <col min="5" max="14" width="10" bestFit="1" customWidth="1"/>
  </cols>
  <sheetData>
    <row r="1" spans="1:13" x14ac:dyDescent="0.3">
      <c r="A1" s="68" t="s">
        <v>507</v>
      </c>
      <c r="B1" s="68" t="s">
        <v>508</v>
      </c>
      <c r="C1" s="68" t="s">
        <v>509</v>
      </c>
      <c r="D1" s="68" t="s">
        <v>510</v>
      </c>
    </row>
    <row r="2" spans="1:13" x14ac:dyDescent="0.3">
      <c r="A2" s="73" t="s">
        <v>519</v>
      </c>
      <c r="B2" s="70" t="s">
        <v>500</v>
      </c>
      <c r="C2" s="70">
        <f>产品销售收入和税金估算!D7</f>
        <v>130371.35078809966</v>
      </c>
      <c r="D2" s="70" t="s">
        <v>511</v>
      </c>
    </row>
    <row r="3" spans="1:13" x14ac:dyDescent="0.3">
      <c r="A3" s="74" t="s">
        <v>801</v>
      </c>
      <c r="B3" s="71" t="s">
        <v>501</v>
      </c>
      <c r="C3" s="71">
        <f>产品销售收入和税金估算!F5/C2*10000</f>
        <v>40049.192109021766</v>
      </c>
      <c r="D3" s="71" t="s">
        <v>512</v>
      </c>
    </row>
    <row r="4" spans="1:13" x14ac:dyDescent="0.3">
      <c r="A4" s="69" t="s">
        <v>513</v>
      </c>
      <c r="B4" s="70" t="s">
        <v>502</v>
      </c>
      <c r="C4" s="70">
        <f>产品成本汇总表!C54</f>
        <v>4317.3415958819478</v>
      </c>
      <c r="D4" s="69" t="s">
        <v>514</v>
      </c>
      <c r="F4">
        <f>C4/(C3-C5-C6)*10000</f>
        <v>51152.963191575363</v>
      </c>
    </row>
    <row r="5" spans="1:13" x14ac:dyDescent="0.3">
      <c r="A5" s="74" t="s">
        <v>802</v>
      </c>
      <c r="B5" s="72" t="s">
        <v>503</v>
      </c>
      <c r="C5" s="72">
        <f>产品成本汇总表!C53/C2*10000</f>
        <v>34597.756769845546</v>
      </c>
      <c r="D5" s="71" t="s">
        <v>512</v>
      </c>
    </row>
    <row r="6" spans="1:13" x14ac:dyDescent="0.3">
      <c r="A6" s="73" t="s">
        <v>803</v>
      </c>
      <c r="B6" s="70" t="s">
        <v>504</v>
      </c>
      <c r="C6" s="70">
        <f>产品销售收入和税金估算!D11/C2*10000</f>
        <v>4607.429180683921</v>
      </c>
      <c r="D6" s="69" t="s">
        <v>512</v>
      </c>
    </row>
    <row r="7" spans="1:13" x14ac:dyDescent="0.3">
      <c r="A7" s="74" t="s">
        <v>799</v>
      </c>
      <c r="B7" s="72" t="s">
        <v>800</v>
      </c>
      <c r="C7" s="72">
        <f>C4/(C3-C5-C6)</f>
        <v>5.1152963191575367</v>
      </c>
      <c r="D7" s="72" t="s">
        <v>515</v>
      </c>
    </row>
    <row r="8" spans="1:13" x14ac:dyDescent="0.3">
      <c r="A8" s="69" t="s">
        <v>516</v>
      </c>
      <c r="B8" s="70"/>
      <c r="C8" s="70">
        <f>(C2-C7*10000)/C2*100</f>
        <v>60.76364716453898</v>
      </c>
      <c r="D8" s="70" t="s">
        <v>505</v>
      </c>
    </row>
    <row r="9" spans="1:13" x14ac:dyDescent="0.3">
      <c r="A9" s="71" t="s">
        <v>517</v>
      </c>
      <c r="B9" s="72" t="s">
        <v>506</v>
      </c>
      <c r="C9" s="149">
        <f>(C4*10000+C5*C2)/C2/(1-C6/C3)</f>
        <v>39469.672824683403</v>
      </c>
      <c r="D9" s="71" t="s">
        <v>512</v>
      </c>
    </row>
    <row r="10" spans="1:13" x14ac:dyDescent="0.3">
      <c r="A10" s="69" t="s">
        <v>518</v>
      </c>
      <c r="B10" s="70"/>
      <c r="C10" s="70">
        <f>(C3-C9)/C3*100</f>
        <v>1.4470186633498063</v>
      </c>
      <c r="D10" s="70" t="s">
        <v>505</v>
      </c>
      <c r="F10" s="75">
        <f>5.12*10000/C2*100</f>
        <v>39.272431934235627</v>
      </c>
    </row>
    <row r="12" spans="1:13" x14ac:dyDescent="0.3">
      <c r="A12" s="76" t="s">
        <v>520</v>
      </c>
      <c r="B12" s="77">
        <v>0</v>
      </c>
      <c r="C12" s="78">
        <v>1</v>
      </c>
      <c r="D12" s="77">
        <v>2</v>
      </c>
      <c r="E12" s="78">
        <v>3</v>
      </c>
      <c r="F12" s="77">
        <v>4</v>
      </c>
      <c r="G12" s="78">
        <v>5</v>
      </c>
      <c r="H12" s="77">
        <v>6</v>
      </c>
      <c r="I12" s="78">
        <v>7</v>
      </c>
      <c r="J12" s="77">
        <v>8</v>
      </c>
      <c r="K12" s="78">
        <v>9</v>
      </c>
      <c r="L12" s="77">
        <v>10</v>
      </c>
      <c r="M12" s="153">
        <v>0.93</v>
      </c>
    </row>
    <row r="13" spans="1:13" x14ac:dyDescent="0.3">
      <c r="A13" s="76" t="s">
        <v>521</v>
      </c>
      <c r="B13" s="70">
        <f>B12*25000</f>
        <v>0</v>
      </c>
      <c r="C13" s="72">
        <f>C12*C3</f>
        <v>40049.192109021766</v>
      </c>
      <c r="D13" s="70">
        <f>D12*C3</f>
        <v>80098.384218043531</v>
      </c>
      <c r="E13" s="72">
        <f>E12*C3</f>
        <v>120147.5763270653</v>
      </c>
      <c r="F13" s="70">
        <f>F12*C3</f>
        <v>160196.76843608706</v>
      </c>
      <c r="G13" s="72">
        <f>G12*C3</f>
        <v>200245.96054510883</v>
      </c>
      <c r="H13" s="70">
        <f>H12*C3</f>
        <v>240295.15265413059</v>
      </c>
      <c r="I13" s="72">
        <f>I12*C3</f>
        <v>280344.34476315236</v>
      </c>
      <c r="J13" s="70">
        <f>J12*C3</f>
        <v>320393.53687217413</v>
      </c>
      <c r="K13" s="72">
        <f>K12*C3</f>
        <v>360442.72898119589</v>
      </c>
      <c r="L13" s="70">
        <f>L12*C3</f>
        <v>400491.92109021766</v>
      </c>
      <c r="M13" s="70">
        <f>M12*C3</f>
        <v>37245.748661390244</v>
      </c>
    </row>
    <row r="14" spans="1:13" x14ac:dyDescent="0.3">
      <c r="A14" s="76" t="s">
        <v>522</v>
      </c>
      <c r="B14" s="70">
        <f>C4</f>
        <v>4317.3415958819478</v>
      </c>
      <c r="C14" s="72">
        <f>$B$14+$C$5*C12</f>
        <v>38915.098365727492</v>
      </c>
      <c r="D14" s="70">
        <f t="shared" ref="D14:M14" si="0">$B$14+$C$5*D12</f>
        <v>73512.855135573045</v>
      </c>
      <c r="E14" s="72">
        <f t="shared" si="0"/>
        <v>108110.61190541858</v>
      </c>
      <c r="F14" s="70">
        <f t="shared" si="0"/>
        <v>142708.36867526412</v>
      </c>
      <c r="G14" s="72">
        <f t="shared" si="0"/>
        <v>177306.12544510968</v>
      </c>
      <c r="H14" s="70">
        <f t="shared" si="0"/>
        <v>211903.8822149552</v>
      </c>
      <c r="I14" s="72">
        <f t="shared" si="0"/>
        <v>246501.63898480075</v>
      </c>
      <c r="J14" s="70">
        <f t="shared" si="0"/>
        <v>281099.39575464634</v>
      </c>
      <c r="K14" s="72">
        <f t="shared" si="0"/>
        <v>315697.15252449189</v>
      </c>
      <c r="L14" s="70">
        <f t="shared" si="0"/>
        <v>350294.90929433744</v>
      </c>
      <c r="M14" s="70">
        <f t="shared" si="0"/>
        <v>36493.255391838306</v>
      </c>
    </row>
    <row r="16" spans="1:13" ht="14.5" thickBot="1" x14ac:dyDescent="0.35">
      <c r="A16" s="16" t="s">
        <v>523</v>
      </c>
    </row>
    <row r="17" spans="1:6" ht="14.5" thickBot="1" x14ac:dyDescent="0.35">
      <c r="A17" s="79" t="s">
        <v>524</v>
      </c>
      <c r="B17" s="193" t="s">
        <v>527</v>
      </c>
      <c r="C17" s="193"/>
      <c r="D17" s="193"/>
      <c r="E17" s="193"/>
      <c r="F17" s="193"/>
    </row>
    <row r="18" spans="1:6" ht="14.5" thickBot="1" x14ac:dyDescent="0.35">
      <c r="A18" s="80"/>
      <c r="B18" s="81">
        <v>-0.1</v>
      </c>
      <c r="C18" s="81">
        <v>-0.05</v>
      </c>
      <c r="D18" s="81">
        <v>0</v>
      </c>
      <c r="E18" s="81">
        <v>0.05</v>
      </c>
      <c r="F18" s="81">
        <v>0.1</v>
      </c>
    </row>
    <row r="19" spans="1:6" ht="14.5" thickBot="1" x14ac:dyDescent="0.35">
      <c r="A19" s="82" t="s">
        <v>525</v>
      </c>
      <c r="B19" s="83">
        <f>D19*(1+B18)</f>
        <v>406703.14238905953</v>
      </c>
      <c r="C19" s="83">
        <f>D19*(1+C18)</f>
        <v>429297.76141067391</v>
      </c>
      <c r="D19" s="83">
        <f>产品成本汇总表!C55</f>
        <v>451892.38043228834</v>
      </c>
      <c r="E19" s="83">
        <f>D19*(1+E18)</f>
        <v>474486.99945390277</v>
      </c>
      <c r="F19" s="83">
        <f>E19*(1+F18)</f>
        <v>521935.69939929311</v>
      </c>
    </row>
    <row r="20" spans="1:6" ht="14.5" thickBot="1" x14ac:dyDescent="0.35">
      <c r="A20" s="84" t="s">
        <v>526</v>
      </c>
      <c r="B20" s="85">
        <f>D20*(1+12.1%)</f>
        <v>219748.91250770292</v>
      </c>
      <c r="C20" s="85">
        <f>D20*(1+6%)</f>
        <v>207791.12155054871</v>
      </c>
      <c r="D20" s="85">
        <f>财务报表!E92</f>
        <v>196029.35995334783</v>
      </c>
      <c r="E20" s="85">
        <f>D20*(1-6%)</f>
        <v>184267.59835614695</v>
      </c>
      <c r="F20" s="85">
        <f>D20*(1-12.2%)</f>
        <v>172113.7780390394</v>
      </c>
    </row>
    <row r="21" spans="1:6" ht="14.5" thickBot="1" x14ac:dyDescent="0.35"/>
    <row r="22" spans="1:6" ht="14.5" thickBot="1" x14ac:dyDescent="0.35">
      <c r="A22" s="93" t="s">
        <v>524</v>
      </c>
      <c r="B22" s="194" t="s">
        <v>527</v>
      </c>
      <c r="C22" s="194"/>
      <c r="D22" s="194"/>
      <c r="E22" s="194"/>
      <c r="F22" s="194"/>
    </row>
    <row r="23" spans="1:6" ht="14.5" thickBot="1" x14ac:dyDescent="0.35">
      <c r="A23" s="94"/>
      <c r="B23" s="95">
        <v>-0.1</v>
      </c>
      <c r="C23" s="95">
        <v>-0.05</v>
      </c>
      <c r="D23" s="95">
        <v>0</v>
      </c>
      <c r="E23" s="95">
        <v>0.05</v>
      </c>
      <c r="F23" s="95">
        <v>0.1</v>
      </c>
    </row>
    <row r="24" spans="1:6" ht="15.5" thickBot="1" x14ac:dyDescent="0.35">
      <c r="A24" s="96" t="s">
        <v>529</v>
      </c>
      <c r="B24" s="83">
        <f>D24*(1+B23)</f>
        <v>97000.096624465688</v>
      </c>
      <c r="C24" s="83">
        <f>D24*(1+C23)</f>
        <v>102388.99088138045</v>
      </c>
      <c r="D24" s="83">
        <f>产品销售收入和税金估算!D2</f>
        <v>107777.88513829521</v>
      </c>
      <c r="E24" s="83">
        <f>D24*(1+E23)</f>
        <v>113166.77939520997</v>
      </c>
      <c r="F24" s="83">
        <f>E24*(1+F23)</f>
        <v>124483.45733473098</v>
      </c>
    </row>
    <row r="25" spans="1:6" ht="14.5" thickBot="1" x14ac:dyDescent="0.35">
      <c r="A25" s="84" t="s">
        <v>526</v>
      </c>
      <c r="B25" s="85">
        <f>D25*(1-11.5%)</f>
        <v>173485.98355871282</v>
      </c>
      <c r="C25" s="85">
        <f>D25*(1-5.5%)</f>
        <v>185247.7451559137</v>
      </c>
      <c r="D25" s="85">
        <f>D20</f>
        <v>196029.35995334783</v>
      </c>
      <c r="E25" s="85">
        <f>D25*(1+5.5%)</f>
        <v>206810.97475078196</v>
      </c>
      <c r="F25" s="85">
        <f>D25*(1+11.3%)</f>
        <v>218180.67762807614</v>
      </c>
    </row>
    <row r="26" spans="1:6" ht="14.5" thickBot="1" x14ac:dyDescent="0.35"/>
    <row r="27" spans="1:6" ht="14.5" thickBot="1" x14ac:dyDescent="0.35">
      <c r="A27" s="97" t="s">
        <v>524</v>
      </c>
      <c r="B27" s="194" t="s">
        <v>527</v>
      </c>
      <c r="C27" s="194"/>
      <c r="D27" s="194"/>
      <c r="E27" s="194"/>
      <c r="F27" s="194"/>
    </row>
    <row r="28" spans="1:6" ht="14.5" thickBot="1" x14ac:dyDescent="0.35">
      <c r="A28" s="98"/>
      <c r="B28" s="95">
        <v>-0.1</v>
      </c>
      <c r="C28" s="95">
        <v>-0.05</v>
      </c>
      <c r="D28" s="95">
        <v>0</v>
      </c>
      <c r="E28" s="95">
        <v>0.05</v>
      </c>
      <c r="F28" s="95">
        <v>0.1</v>
      </c>
    </row>
    <row r="29" spans="1:6" ht="14.5" thickBot="1" x14ac:dyDescent="0.35">
      <c r="A29" s="96" t="s">
        <v>530</v>
      </c>
      <c r="B29" s="83">
        <f>D29*(1+B28)</f>
        <v>31500</v>
      </c>
      <c r="C29" s="83">
        <f>D29*(1+C28)</f>
        <v>33250</v>
      </c>
      <c r="D29" s="83">
        <v>35000</v>
      </c>
      <c r="E29" s="83">
        <f>D29*(1+0.05)</f>
        <v>36750</v>
      </c>
      <c r="F29" s="83">
        <f>D29*(1+F28)</f>
        <v>38500</v>
      </c>
    </row>
    <row r="30" spans="1:6" ht="14.5" thickBot="1" x14ac:dyDescent="0.35">
      <c r="A30" s="84" t="s">
        <v>526</v>
      </c>
      <c r="B30" s="85">
        <f>D30*(1-17.9%)</f>
        <v>160940.10452169855</v>
      </c>
      <c r="C30" s="85">
        <f>D30*(1-9%)</f>
        <v>178386.71755754654</v>
      </c>
      <c r="D30" s="85">
        <f>D20</f>
        <v>196029.35995334783</v>
      </c>
      <c r="E30" s="85">
        <f>D30*(1+9%)</f>
        <v>213672.00234914914</v>
      </c>
      <c r="F30" s="85">
        <f>D30*(1+18.2%)</f>
        <v>231706.70346485713</v>
      </c>
    </row>
  </sheetData>
  <mergeCells count="3">
    <mergeCell ref="B17:F17"/>
    <mergeCell ref="B22:F22"/>
    <mergeCell ref="B27:F27"/>
  </mergeCells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E78C-C531-457B-BA60-62FC40392F25}">
  <dimension ref="A1:I63"/>
  <sheetViews>
    <sheetView topLeftCell="A4" zoomScale="50" zoomScaleNormal="104" workbookViewId="0">
      <selection activeCell="D44" sqref="D44"/>
    </sheetView>
  </sheetViews>
  <sheetFormatPr defaultRowHeight="14" x14ac:dyDescent="0.3"/>
  <cols>
    <col min="1" max="1" width="19.33203125" customWidth="1"/>
    <col min="3" max="3" width="10.6640625" bestFit="1" customWidth="1"/>
    <col min="4" max="4" width="15.58203125" customWidth="1"/>
    <col min="5" max="5" width="14.4140625" customWidth="1"/>
    <col min="6" max="6" width="12.5" bestFit="1" customWidth="1"/>
    <col min="7" max="7" width="11.83203125" bestFit="1" customWidth="1"/>
    <col min="8" max="8" width="27.1640625" customWidth="1"/>
    <col min="9" max="9" width="21.6640625" customWidth="1"/>
  </cols>
  <sheetData>
    <row r="1" spans="1:9" ht="17.5" x14ac:dyDescent="0.3">
      <c r="A1" s="2" t="s">
        <v>38</v>
      </c>
    </row>
    <row r="2" spans="1:9" x14ac:dyDescent="0.3">
      <c r="A2" s="156" t="s">
        <v>12</v>
      </c>
      <c r="B2" s="157" t="s">
        <v>13</v>
      </c>
      <c r="C2" s="157" t="s">
        <v>14</v>
      </c>
      <c r="D2" s="157"/>
      <c r="E2" s="157" t="s">
        <v>15</v>
      </c>
      <c r="F2" s="157"/>
      <c r="G2" s="112" t="s">
        <v>16</v>
      </c>
      <c r="H2" s="112" t="s">
        <v>17</v>
      </c>
      <c r="I2" s="156" t="s">
        <v>18</v>
      </c>
    </row>
    <row r="3" spans="1:9" x14ac:dyDescent="0.3">
      <c r="A3" s="157"/>
      <c r="B3" s="157"/>
      <c r="C3" s="112" t="s">
        <v>19</v>
      </c>
      <c r="D3" s="112" t="s">
        <v>20</v>
      </c>
      <c r="E3" s="112" t="s">
        <v>13</v>
      </c>
      <c r="F3" s="112" t="s">
        <v>21</v>
      </c>
      <c r="G3" s="112" t="s">
        <v>22</v>
      </c>
      <c r="H3" s="112" t="s">
        <v>23</v>
      </c>
      <c r="I3" s="156"/>
    </row>
    <row r="4" spans="1:9" s="106" customFormat="1" x14ac:dyDescent="0.3">
      <c r="A4" s="117" t="s">
        <v>538</v>
      </c>
      <c r="B4" s="117" t="s">
        <v>539</v>
      </c>
      <c r="C4" s="116">
        <v>4.3286102099999999</v>
      </c>
      <c r="D4" s="113">
        <f>C4*8000</f>
        <v>34628.881679999999</v>
      </c>
      <c r="E4" s="117" t="s">
        <v>540</v>
      </c>
      <c r="F4" s="116">
        <v>15.5</v>
      </c>
      <c r="G4" s="113">
        <f>H4/产品销售收入和税金估算!D7</f>
        <v>4.1170676133624475</v>
      </c>
      <c r="H4" s="113">
        <f>D4*F4</f>
        <v>536747.66603999992</v>
      </c>
      <c r="I4" s="113">
        <f t="shared" ref="I4:I12" si="0">H4/$H$13*100</f>
        <v>2.8260591844538039E-3</v>
      </c>
    </row>
    <row r="5" spans="1:9" x14ac:dyDescent="0.3">
      <c r="A5" s="113" t="s">
        <v>35</v>
      </c>
      <c r="B5" s="113" t="s">
        <v>24</v>
      </c>
      <c r="C5" s="119">
        <v>7834.9983600000005</v>
      </c>
      <c r="D5" s="113">
        <f>C5*8000</f>
        <v>62679986.880000003</v>
      </c>
      <c r="E5" s="113" t="s">
        <v>25</v>
      </c>
      <c r="F5" s="113">
        <v>3.6</v>
      </c>
      <c r="G5" s="113">
        <f>H5/产品销售收入和税金估算!D7</f>
        <v>1730.8093488634561</v>
      </c>
      <c r="H5" s="113">
        <f>D5*F5</f>
        <v>225647952.76800001</v>
      </c>
      <c r="I5" s="113">
        <f t="shared" si="0"/>
        <v>1.188071247850907</v>
      </c>
    </row>
    <row r="6" spans="1:9" x14ac:dyDescent="0.3">
      <c r="A6" s="113" t="s">
        <v>31</v>
      </c>
      <c r="B6" s="113" t="s">
        <v>26</v>
      </c>
      <c r="C6" s="119">
        <v>100.159324</v>
      </c>
      <c r="D6" s="113">
        <f t="shared" ref="D6:D12" si="1">C6*8000</f>
        <v>801274.59199999995</v>
      </c>
      <c r="E6" s="113" t="s">
        <v>22</v>
      </c>
      <c r="F6" s="113">
        <v>2773.3</v>
      </c>
      <c r="G6" s="113">
        <f>H6/产品销售收入和税金估算!D7</f>
        <v>17044.962812462021</v>
      </c>
      <c r="H6" s="113">
        <f>D6*F6</f>
        <v>2222174825.9935999</v>
      </c>
      <c r="I6" s="113">
        <f t="shared" si="0"/>
        <v>11.700092937140493</v>
      </c>
    </row>
    <row r="7" spans="1:9" x14ac:dyDescent="0.3">
      <c r="A7" s="114" t="s">
        <v>29</v>
      </c>
      <c r="B7" s="114" t="s">
        <v>26</v>
      </c>
      <c r="C7" s="120">
        <v>535.29085599999996</v>
      </c>
      <c r="D7" s="114">
        <f>C7*8000</f>
        <v>4282326.8479999993</v>
      </c>
      <c r="E7" s="114" t="s">
        <v>22</v>
      </c>
      <c r="F7" s="114">
        <v>3684</v>
      </c>
      <c r="G7" s="114">
        <f>H7/产品销售收入和税金估算!D7</f>
        <v>121008.88740252313</v>
      </c>
      <c r="H7" s="114">
        <f t="shared" ref="H7:H12" si="2">D7*F7</f>
        <v>15776092108.031998</v>
      </c>
      <c r="I7" s="115">
        <f t="shared" si="0"/>
        <v>83.0635563366762</v>
      </c>
    </row>
    <row r="8" spans="1:9" x14ac:dyDescent="0.3">
      <c r="A8" s="113" t="s">
        <v>36</v>
      </c>
      <c r="B8" s="113" t="s">
        <v>26</v>
      </c>
      <c r="C8" s="119">
        <v>1963.3008200000002</v>
      </c>
      <c r="D8" s="113">
        <f t="shared" si="1"/>
        <v>15706406.560000001</v>
      </c>
      <c r="E8" s="113" t="s">
        <v>22</v>
      </c>
      <c r="F8" s="113">
        <v>4.1900000000000004</v>
      </c>
      <c r="G8" s="113">
        <f>H8/产品销售收入和税金估算!D7</f>
        <v>504.78761697702032</v>
      </c>
      <c r="H8" s="113">
        <f t="shared" si="2"/>
        <v>65809843.486400008</v>
      </c>
      <c r="I8" s="113">
        <f t="shared" si="0"/>
        <v>0.34649896847124462</v>
      </c>
    </row>
    <row r="9" spans="1:9" x14ac:dyDescent="0.3">
      <c r="A9" s="114" t="s">
        <v>32</v>
      </c>
      <c r="B9" s="114" t="s">
        <v>26</v>
      </c>
      <c r="C9" s="121">
        <v>4.4783671500000004</v>
      </c>
      <c r="D9" s="114">
        <f t="shared" si="1"/>
        <v>35826.9372</v>
      </c>
      <c r="E9" s="114" t="s">
        <v>22</v>
      </c>
      <c r="F9" s="114">
        <v>4.01</v>
      </c>
      <c r="G9" s="114">
        <f>H9/产品销售收入和税金估算!D7</f>
        <v>1.1019753749848686</v>
      </c>
      <c r="H9" s="114">
        <f t="shared" si="2"/>
        <v>143666.01817199998</v>
      </c>
      <c r="I9" s="114">
        <f t="shared" si="0"/>
        <v>7.5642372726895241E-4</v>
      </c>
    </row>
    <row r="10" spans="1:9" x14ac:dyDescent="0.3">
      <c r="A10" s="113" t="s">
        <v>537</v>
      </c>
      <c r="B10" s="113" t="s">
        <v>27</v>
      </c>
      <c r="C10" s="113">
        <v>7.85</v>
      </c>
      <c r="D10" s="113">
        <f t="shared" si="1"/>
        <v>62800</v>
      </c>
      <c r="E10" s="113" t="s">
        <v>28</v>
      </c>
      <c r="F10" s="113">
        <v>11.72</v>
      </c>
      <c r="G10" s="113">
        <f>H10/产品销售收入和税金估算!D7</f>
        <v>5.6455348168961654</v>
      </c>
      <c r="H10" s="113">
        <f t="shared" si="2"/>
        <v>736016</v>
      </c>
      <c r="I10" s="113">
        <f t="shared" si="0"/>
        <v>3.8752376736929154E-3</v>
      </c>
    </row>
    <row r="11" spans="1:9" x14ac:dyDescent="0.3">
      <c r="A11" s="114" t="s">
        <v>33</v>
      </c>
      <c r="B11" s="114" t="s">
        <v>27</v>
      </c>
      <c r="C11" s="121">
        <v>6</v>
      </c>
      <c r="D11" s="114">
        <f t="shared" si="1"/>
        <v>48000</v>
      </c>
      <c r="E11" s="114" t="s">
        <v>28</v>
      </c>
      <c r="F11" s="114">
        <v>1.17</v>
      </c>
      <c r="G11" s="114">
        <f>H11/产品销售收入和税金估算!D7</f>
        <v>0.43076948777864699</v>
      </c>
      <c r="H11" s="114">
        <f t="shared" si="2"/>
        <v>56160</v>
      </c>
      <c r="I11" s="114">
        <f t="shared" si="0"/>
        <v>2.9569105529580081E-4</v>
      </c>
    </row>
    <row r="12" spans="1:9" x14ac:dyDescent="0.3">
      <c r="A12" s="113" t="s">
        <v>318</v>
      </c>
      <c r="B12" s="113" t="s">
        <v>26</v>
      </c>
      <c r="C12" s="113">
        <v>143.946359</v>
      </c>
      <c r="D12" s="113">
        <f t="shared" si="1"/>
        <v>1151570.872</v>
      </c>
      <c r="E12" s="113" t="s">
        <v>22</v>
      </c>
      <c r="F12" s="113">
        <f>2.0324*300</f>
        <v>609.72</v>
      </c>
      <c r="G12" s="113">
        <f>H12/产品销售收入和税金估算!D7</f>
        <v>5385.6601763455164</v>
      </c>
      <c r="H12" s="113">
        <f t="shared" si="2"/>
        <v>702135792.07584</v>
      </c>
      <c r="I12" s="113">
        <f t="shared" si="0"/>
        <v>3.6968531574048806</v>
      </c>
    </row>
    <row r="13" spans="1:9" x14ac:dyDescent="0.3">
      <c r="A13" s="162" t="s">
        <v>34</v>
      </c>
      <c r="B13" s="162"/>
      <c r="C13" s="162"/>
      <c r="D13" s="162"/>
      <c r="E13" s="162"/>
      <c r="F13" s="162"/>
      <c r="G13" s="114">
        <f>SUM(G5:G12)</f>
        <v>145682.28563685081</v>
      </c>
      <c r="H13" s="114">
        <f>SUM(H5:H12)</f>
        <v>18992796364.374012</v>
      </c>
      <c r="I13" s="115">
        <f>SUM(I5:I12)</f>
        <v>99.999999999999972</v>
      </c>
    </row>
    <row r="15" spans="1:9" x14ac:dyDescent="0.3">
      <c r="H15">
        <f>SUM(H5:H6,H8:H12)</f>
        <v>3216704256.3420119</v>
      </c>
    </row>
    <row r="16" spans="1:9" x14ac:dyDescent="0.3">
      <c r="C16">
        <f>2.0324*17548.1543</f>
        <v>35664.868799319993</v>
      </c>
      <c r="F16" s="195" t="s">
        <v>321</v>
      </c>
      <c r="G16" s="195"/>
      <c r="H16" s="27" t="s">
        <v>322</v>
      </c>
      <c r="I16" s="27" t="s">
        <v>323</v>
      </c>
    </row>
    <row r="17" spans="1:9" x14ac:dyDescent="0.3">
      <c r="F17" s="195" t="s">
        <v>319</v>
      </c>
      <c r="G17" s="195"/>
      <c r="H17" s="27">
        <f>6690*0.001</f>
        <v>6.69</v>
      </c>
      <c r="I17" s="27" t="s">
        <v>320</v>
      </c>
    </row>
    <row r="18" spans="1:9" ht="17.5" x14ac:dyDescent="0.3">
      <c r="A18" s="2" t="s">
        <v>39</v>
      </c>
    </row>
    <row r="19" spans="1:9" x14ac:dyDescent="0.3">
      <c r="A19" s="156" t="s">
        <v>12</v>
      </c>
      <c r="B19" s="157" t="s">
        <v>13</v>
      </c>
      <c r="C19" s="157" t="s">
        <v>14</v>
      </c>
      <c r="D19" s="157"/>
      <c r="E19" s="154" t="s">
        <v>42</v>
      </c>
      <c r="F19" s="154"/>
      <c r="G19" s="110" t="s">
        <v>43</v>
      </c>
      <c r="H19" s="110" t="s">
        <v>46</v>
      </c>
    </row>
    <row r="20" spans="1:9" x14ac:dyDescent="0.3">
      <c r="A20" s="157"/>
      <c r="B20" s="157"/>
      <c r="C20" s="112" t="s">
        <v>19</v>
      </c>
      <c r="D20" s="112" t="s">
        <v>20</v>
      </c>
      <c r="E20" s="110" t="s">
        <v>40</v>
      </c>
      <c r="F20" s="110" t="s">
        <v>41</v>
      </c>
      <c r="G20" s="110" t="s">
        <v>45</v>
      </c>
      <c r="H20" s="110" t="s">
        <v>47</v>
      </c>
    </row>
    <row r="21" spans="1:9" s="106" customFormat="1" x14ac:dyDescent="0.3">
      <c r="A21" s="116" t="s">
        <v>538</v>
      </c>
      <c r="B21" s="116" t="s">
        <v>30</v>
      </c>
      <c r="C21" s="116">
        <v>4.3286102099999999</v>
      </c>
      <c r="D21" s="114">
        <f>C21*8000</f>
        <v>34628.881679999999</v>
      </c>
      <c r="E21" s="114" t="s">
        <v>44</v>
      </c>
      <c r="F21" s="114">
        <f>G36</f>
        <v>0.52900000000000003</v>
      </c>
      <c r="G21" s="122">
        <f>H21/产品销售收入和税金估算!D7</f>
        <v>0.14051153338507968</v>
      </c>
      <c r="H21" s="123">
        <f>F21*D21</f>
        <v>18318.678408719999</v>
      </c>
    </row>
    <row r="22" spans="1:9" x14ac:dyDescent="0.3">
      <c r="A22" s="113" t="s">
        <v>35</v>
      </c>
      <c r="B22" s="113" t="s">
        <v>24</v>
      </c>
      <c r="C22" s="113">
        <v>7834.9983600000005</v>
      </c>
      <c r="D22" s="113">
        <f>C22*8000</f>
        <v>62679986.880000003</v>
      </c>
      <c r="E22" s="113" t="s">
        <v>49</v>
      </c>
      <c r="F22" s="113">
        <v>0.1229</v>
      </c>
      <c r="G22" s="124">
        <f>H22/产品销售收入和税金估算!D7</f>
        <v>59.087908048699653</v>
      </c>
      <c r="H22" s="125">
        <f>F22*D22</f>
        <v>7703370.3875519997</v>
      </c>
      <c r="I22" s="1"/>
    </row>
    <row r="23" spans="1:9" x14ac:dyDescent="0.3">
      <c r="A23" s="114" t="s">
        <v>541</v>
      </c>
      <c r="B23" s="114" t="s">
        <v>26</v>
      </c>
      <c r="C23" s="114">
        <v>100.159324</v>
      </c>
      <c r="D23" s="114">
        <f t="shared" ref="D23:D29" si="3">C23*8000</f>
        <v>801274.59199999995</v>
      </c>
      <c r="E23" s="114" t="s">
        <v>44</v>
      </c>
      <c r="F23" s="114">
        <v>94.63</v>
      </c>
      <c r="G23" s="122">
        <f>H23/产品销售收入和税金估算!D7</f>
        <v>581.60488621616162</v>
      </c>
      <c r="H23" s="123">
        <f t="shared" ref="H23:H29" si="4">F23*D23</f>
        <v>75824614.640959993</v>
      </c>
    </row>
    <row r="24" spans="1:9" x14ac:dyDescent="0.3">
      <c r="A24" s="113" t="s">
        <v>29</v>
      </c>
      <c r="B24" s="113" t="s">
        <v>26</v>
      </c>
      <c r="C24" s="113">
        <v>535.29085599999996</v>
      </c>
      <c r="D24" s="113">
        <f t="shared" si="3"/>
        <v>4282326.8479999993</v>
      </c>
      <c r="E24" s="113" t="s">
        <v>44</v>
      </c>
      <c r="F24" s="113">
        <v>125.7</v>
      </c>
      <c r="G24" s="113">
        <f>H24/产品销售收入和税金估算!D7</f>
        <v>4128.8863046952119</v>
      </c>
      <c r="H24" s="113">
        <f t="shared" si="4"/>
        <v>538288484.79359996</v>
      </c>
    </row>
    <row r="25" spans="1:9" x14ac:dyDescent="0.3">
      <c r="A25" s="114" t="s">
        <v>542</v>
      </c>
      <c r="B25" s="114" t="s">
        <v>26</v>
      </c>
      <c r="C25" s="114">
        <v>1963.3008200000002</v>
      </c>
      <c r="D25" s="114">
        <f t="shared" si="3"/>
        <v>15706406.560000001</v>
      </c>
      <c r="E25" s="114" t="s">
        <v>44</v>
      </c>
      <c r="F25" s="114">
        <v>0.1429</v>
      </c>
      <c r="G25" s="122">
        <f>H25/产品销售收入和税金估算!D7</f>
        <v>17.215787700719854</v>
      </c>
      <c r="H25" s="123">
        <f t="shared" si="4"/>
        <v>2244445.4974239999</v>
      </c>
    </row>
    <row r="26" spans="1:9" x14ac:dyDescent="0.3">
      <c r="A26" s="113" t="s">
        <v>32</v>
      </c>
      <c r="B26" s="113" t="s">
        <v>26</v>
      </c>
      <c r="C26" s="113">
        <v>4.4783671500000004</v>
      </c>
      <c r="D26" s="113">
        <f t="shared" si="3"/>
        <v>35826.9372</v>
      </c>
      <c r="E26" s="113" t="s">
        <v>44</v>
      </c>
      <c r="F26" s="113">
        <v>0.13852999999999999</v>
      </c>
      <c r="G26" s="113">
        <f>H26/产品销售收入和税金估算!D7</f>
        <v>3.8068989699913687E-2</v>
      </c>
      <c r="H26" s="113">
        <f t="shared" si="4"/>
        <v>4963.1056103159999</v>
      </c>
    </row>
    <row r="27" spans="1:9" x14ac:dyDescent="0.3">
      <c r="A27" s="114" t="s">
        <v>537</v>
      </c>
      <c r="B27" s="114" t="s">
        <v>27</v>
      </c>
      <c r="C27" s="114">
        <v>7.85</v>
      </c>
      <c r="D27" s="114">
        <f t="shared" si="3"/>
        <v>62800</v>
      </c>
      <c r="E27" s="114" t="s">
        <v>50</v>
      </c>
      <c r="F27" s="114">
        <v>0.4</v>
      </c>
      <c r="G27" s="122">
        <f>H27/产品销售收入和税金估算!D7</f>
        <v>0.19268036917734355</v>
      </c>
      <c r="H27" s="123">
        <f t="shared" si="4"/>
        <v>25120</v>
      </c>
    </row>
    <row r="28" spans="1:9" x14ac:dyDescent="0.3">
      <c r="A28" s="113" t="s">
        <v>33</v>
      </c>
      <c r="B28" s="113" t="s">
        <v>27</v>
      </c>
      <c r="C28" s="113">
        <v>6</v>
      </c>
      <c r="D28" s="113">
        <f t="shared" si="3"/>
        <v>48000</v>
      </c>
      <c r="E28" s="113" t="s">
        <v>50</v>
      </c>
      <c r="F28" s="113">
        <v>0.04</v>
      </c>
      <c r="G28" s="113">
        <f>H28/产品销售收入和税金估算!D7</f>
        <v>1.4727161975338359E-2</v>
      </c>
      <c r="H28" s="113">
        <f t="shared" si="4"/>
        <v>1920</v>
      </c>
    </row>
    <row r="29" spans="1:9" x14ac:dyDescent="0.3">
      <c r="A29" s="114" t="s">
        <v>318</v>
      </c>
      <c r="B29" s="114" t="s">
        <v>26</v>
      </c>
      <c r="C29" s="114">
        <v>143.946359</v>
      </c>
      <c r="D29" s="114">
        <f t="shared" si="3"/>
        <v>1151570.872</v>
      </c>
      <c r="E29" s="114" t="s">
        <v>44</v>
      </c>
      <c r="F29" s="114">
        <v>20.794507875894986</v>
      </c>
      <c r="G29" s="122">
        <f>H29/产品销售收入和税金估算!D7</f>
        <v>183.67800458228501</v>
      </c>
      <c r="H29" s="123">
        <f t="shared" si="4"/>
        <v>23946349.567455258</v>
      </c>
    </row>
    <row r="30" spans="1:9" x14ac:dyDescent="0.3">
      <c r="A30" s="158" t="s">
        <v>48</v>
      </c>
      <c r="B30" s="158"/>
      <c r="C30" s="158"/>
      <c r="D30" s="158"/>
      <c r="E30" s="158"/>
      <c r="F30" s="158"/>
      <c r="G30" s="113">
        <f>SUM(G22:G29)</f>
        <v>4970.7183677639323</v>
      </c>
      <c r="H30" s="113">
        <f>SUM(H22:H29)</f>
        <v>648039267.99260163</v>
      </c>
    </row>
    <row r="33" spans="1:8" ht="17.5" x14ac:dyDescent="0.3">
      <c r="A33" s="2" t="s">
        <v>128</v>
      </c>
    </row>
    <row r="34" spans="1:8" x14ac:dyDescent="0.3">
      <c r="A34" s="156" t="s">
        <v>12</v>
      </c>
      <c r="B34" s="157" t="s">
        <v>13</v>
      </c>
      <c r="C34" s="157" t="s">
        <v>14</v>
      </c>
      <c r="D34" s="157"/>
      <c r="E34" s="154" t="s">
        <v>129</v>
      </c>
      <c r="F34" s="154" t="s">
        <v>130</v>
      </c>
      <c r="G34" s="154"/>
      <c r="H34" s="154" t="s">
        <v>133</v>
      </c>
    </row>
    <row r="35" spans="1:8" x14ac:dyDescent="0.3">
      <c r="A35" s="157"/>
      <c r="B35" s="157"/>
      <c r="C35" s="112" t="s">
        <v>19</v>
      </c>
      <c r="D35" s="112" t="s">
        <v>20</v>
      </c>
      <c r="E35" s="154"/>
      <c r="F35" s="109" t="s">
        <v>131</v>
      </c>
      <c r="G35" s="109" t="s">
        <v>132</v>
      </c>
      <c r="H35" s="154"/>
    </row>
    <row r="36" spans="1:8" s="106" customFormat="1" x14ac:dyDescent="0.3">
      <c r="A36" s="113" t="s">
        <v>538</v>
      </c>
      <c r="B36" s="113" t="s">
        <v>539</v>
      </c>
      <c r="C36" s="113">
        <v>4.3286102099999999</v>
      </c>
      <c r="D36" s="113">
        <f>C36*8000</f>
        <v>34628.881679999999</v>
      </c>
      <c r="E36" s="113">
        <f>D36/财务报表!$G$48</f>
        <v>0.78213598989425392</v>
      </c>
      <c r="F36" s="113" t="s">
        <v>785</v>
      </c>
      <c r="G36" s="113">
        <v>0.52900000000000003</v>
      </c>
      <c r="H36" s="113">
        <f>G36*E36</f>
        <v>0.41374993865406035</v>
      </c>
    </row>
    <row r="37" spans="1:8" x14ac:dyDescent="0.3">
      <c r="A37" s="113" t="s">
        <v>35</v>
      </c>
      <c r="B37" s="113" t="s">
        <v>24</v>
      </c>
      <c r="C37" s="113">
        <v>7834.9983600000005</v>
      </c>
      <c r="D37" s="113">
        <f>C37*8000</f>
        <v>62679986.880000003</v>
      </c>
      <c r="E37" s="113">
        <f>D37/财务报表!$G$48</f>
        <v>1415.7047876386303</v>
      </c>
      <c r="F37" s="113" t="s">
        <v>135</v>
      </c>
      <c r="G37" s="113">
        <v>0.1229</v>
      </c>
      <c r="H37" s="113">
        <f>G37*E37</f>
        <v>173.99011840078765</v>
      </c>
    </row>
    <row r="38" spans="1:8" x14ac:dyDescent="0.3">
      <c r="A38" s="113" t="s">
        <v>31</v>
      </c>
      <c r="B38" s="113" t="s">
        <v>26</v>
      </c>
      <c r="C38" s="113">
        <v>100.159324</v>
      </c>
      <c r="D38" s="113">
        <f t="shared" ref="D38:D44" si="5">C38*8000</f>
        <v>801274.59199999995</v>
      </c>
      <c r="E38" s="113">
        <f>D38/财务报表!$G$48</f>
        <v>18.097774625883744</v>
      </c>
      <c r="F38" s="113" t="s">
        <v>44</v>
      </c>
      <c r="G38" s="113">
        <v>94.63</v>
      </c>
      <c r="H38" s="113">
        <f t="shared" ref="H38:H44" si="6">G38*E38</f>
        <v>1712.5924128473787</v>
      </c>
    </row>
    <row r="39" spans="1:8" x14ac:dyDescent="0.3">
      <c r="A39" s="114" t="s">
        <v>29</v>
      </c>
      <c r="B39" s="114" t="s">
        <v>26</v>
      </c>
      <c r="C39" s="114">
        <v>535.29085599999996</v>
      </c>
      <c r="D39" s="114">
        <f t="shared" si="5"/>
        <v>4282326.8479999993</v>
      </c>
      <c r="E39" s="114">
        <f>D39/财务报表!$G$48</f>
        <v>96.721631938973431</v>
      </c>
      <c r="F39" s="114" t="s">
        <v>44</v>
      </c>
      <c r="G39" s="114">
        <v>125.7</v>
      </c>
      <c r="H39" s="114">
        <f t="shared" si="6"/>
        <v>12157.909134728961</v>
      </c>
    </row>
    <row r="40" spans="1:8" x14ac:dyDescent="0.3">
      <c r="A40" s="113" t="s">
        <v>36</v>
      </c>
      <c r="B40" s="113" t="s">
        <v>26</v>
      </c>
      <c r="C40" s="113">
        <v>1963.3008200000002</v>
      </c>
      <c r="D40" s="113">
        <f t="shared" si="5"/>
        <v>15706406.560000001</v>
      </c>
      <c r="E40" s="113">
        <f>D40/财务报表!$G$48</f>
        <v>354.74855803911731</v>
      </c>
      <c r="F40" s="113" t="s">
        <v>44</v>
      </c>
      <c r="G40" s="113">
        <v>0.1429</v>
      </c>
      <c r="H40" s="113">
        <f t="shared" si="6"/>
        <v>50.693568943789863</v>
      </c>
    </row>
    <row r="41" spans="1:8" x14ac:dyDescent="0.3">
      <c r="A41" s="114" t="s">
        <v>32</v>
      </c>
      <c r="B41" s="114" t="s">
        <v>26</v>
      </c>
      <c r="C41" s="114">
        <v>4.4783671500000004</v>
      </c>
      <c r="D41" s="114">
        <f t="shared" si="5"/>
        <v>35826.9372</v>
      </c>
      <c r="E41" s="114">
        <f>D41/财务报表!$G$48</f>
        <v>0.80919555100692686</v>
      </c>
      <c r="F41" s="114" t="s">
        <v>44</v>
      </c>
      <c r="G41" s="114">
        <v>1.3853</v>
      </c>
      <c r="H41" s="114">
        <f t="shared" si="6"/>
        <v>1.1209785968098958</v>
      </c>
    </row>
    <row r="42" spans="1:8" x14ac:dyDescent="0.3">
      <c r="A42" s="113" t="s">
        <v>37</v>
      </c>
      <c r="B42" s="113" t="s">
        <v>27</v>
      </c>
      <c r="C42" s="113">
        <v>7.85</v>
      </c>
      <c r="D42" s="113">
        <f t="shared" si="5"/>
        <v>62800</v>
      </c>
      <c r="E42" s="113">
        <f>D42/财务报表!$G$48</f>
        <v>1.4184154319291074</v>
      </c>
      <c r="F42" s="113" t="s">
        <v>136</v>
      </c>
      <c r="G42" s="113">
        <v>0.4</v>
      </c>
      <c r="H42" s="113">
        <f t="shared" si="6"/>
        <v>0.56736617277164292</v>
      </c>
    </row>
    <row r="43" spans="1:8" x14ac:dyDescent="0.3">
      <c r="A43" s="114" t="s">
        <v>33</v>
      </c>
      <c r="B43" s="114" t="s">
        <v>27</v>
      </c>
      <c r="C43" s="114">
        <v>6</v>
      </c>
      <c r="D43" s="114">
        <f t="shared" si="5"/>
        <v>48000</v>
      </c>
      <c r="E43" s="114">
        <f>D43/财务报表!$G$48</f>
        <v>1.084139183640082</v>
      </c>
      <c r="F43" s="114" t="s">
        <v>136</v>
      </c>
      <c r="G43" s="114">
        <v>0.04</v>
      </c>
      <c r="H43" s="114">
        <f t="shared" si="6"/>
        <v>4.3365567345603283E-2</v>
      </c>
    </row>
    <row r="44" spans="1:8" x14ac:dyDescent="0.3">
      <c r="A44" s="113" t="s">
        <v>318</v>
      </c>
      <c r="B44" s="113" t="s">
        <v>26</v>
      </c>
      <c r="C44" s="113">
        <v>143.946359</v>
      </c>
      <c r="D44" s="113">
        <f t="shared" si="5"/>
        <v>1151570.872</v>
      </c>
      <c r="E44" s="113">
        <f>D44/财务报表!$G$48</f>
        <v>26.009648022370364</v>
      </c>
      <c r="F44" s="113" t="s">
        <v>44</v>
      </c>
      <c r="G44" s="113">
        <v>129.577</v>
      </c>
      <c r="H44" s="113">
        <f t="shared" si="6"/>
        <v>3370.2521617946845</v>
      </c>
    </row>
    <row r="45" spans="1:8" x14ac:dyDescent="0.3">
      <c r="A45" s="162" t="s">
        <v>134</v>
      </c>
      <c r="B45" s="162"/>
      <c r="C45" s="162"/>
      <c r="D45" s="162"/>
      <c r="E45" s="114">
        <f>SUM(E37:E44)</f>
        <v>1914.5941504315513</v>
      </c>
      <c r="F45" s="162">
        <f>SUM(H37:H44)</f>
        <v>17467.16910705253</v>
      </c>
      <c r="G45" s="162"/>
      <c r="H45" s="162"/>
    </row>
    <row r="52" spans="1:6" x14ac:dyDescent="0.3">
      <c r="A52" s="163"/>
      <c r="B52" s="163"/>
      <c r="C52" s="163"/>
      <c r="D52" s="163"/>
      <c r="E52" s="163"/>
      <c r="F52" s="163"/>
    </row>
    <row r="53" spans="1:6" x14ac:dyDescent="0.3">
      <c r="A53" s="163"/>
      <c r="B53" s="163"/>
    </row>
    <row r="63" spans="1:6" x14ac:dyDescent="0.3">
      <c r="A63" s="163"/>
      <c r="B63" s="163"/>
      <c r="C63" s="163"/>
      <c r="D63" s="163"/>
      <c r="E63" s="163"/>
      <c r="F63" s="163"/>
    </row>
  </sheetData>
  <mergeCells count="26">
    <mergeCell ref="A63:F63"/>
    <mergeCell ref="A19:A20"/>
    <mergeCell ref="B19:B20"/>
    <mergeCell ref="C19:D19"/>
    <mergeCell ref="E19:F19"/>
    <mergeCell ref="A30:F30"/>
    <mergeCell ref="A52:A53"/>
    <mergeCell ref="B52:B53"/>
    <mergeCell ref="C52:D52"/>
    <mergeCell ref="E52:F52"/>
    <mergeCell ref="A2:A3"/>
    <mergeCell ref="B2:B3"/>
    <mergeCell ref="C2:D2"/>
    <mergeCell ref="E2:F2"/>
    <mergeCell ref="I2:I3"/>
    <mergeCell ref="H34:H35"/>
    <mergeCell ref="F34:G34"/>
    <mergeCell ref="A45:D45"/>
    <mergeCell ref="F45:H45"/>
    <mergeCell ref="A13:F13"/>
    <mergeCell ref="A34:A35"/>
    <mergeCell ref="B34:B35"/>
    <mergeCell ref="C34:D34"/>
    <mergeCell ref="E34:E35"/>
    <mergeCell ref="F17:G17"/>
    <mergeCell ref="F16:G1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主要经济技术指标表</vt:lpstr>
      <vt:lpstr>直接材料费用表</vt:lpstr>
      <vt:lpstr>产品销售收入和税金估算</vt:lpstr>
      <vt:lpstr>工资和生活用水费</vt:lpstr>
      <vt:lpstr>设备费价格明细</vt:lpstr>
      <vt:lpstr>设备购置和安装费</vt:lpstr>
      <vt:lpstr>建设投资估算表</vt:lpstr>
      <vt:lpstr>建设期贷款利息</vt:lpstr>
      <vt:lpstr>产品成本汇总表</vt:lpstr>
      <vt:lpstr>财务报表</vt:lpstr>
      <vt:lpstr>不确定分析</vt:lpstr>
      <vt:lpstr>能耗分析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2023-07-16T06:46:57Z</dcterms:created>
  <dcterms:modified xsi:type="dcterms:W3CDTF">2023-07-30T20:29:24Z</dcterms:modified>
</cp:coreProperties>
</file>